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5"/>
    <sheet state="visible" name="Introduction" sheetId="2" r:id="rId6"/>
    <sheet state="visible" name="Rules of project" sheetId="3" r:id="rId7"/>
    <sheet state="visible" name="Requirement" sheetId="4" r:id="rId8"/>
    <sheet state="visible" name="General Activities Management" sheetId="5" r:id="rId9"/>
    <sheet state="visible" name="Design" sheetId="6" r:id="rId10"/>
    <sheet state="visible" name="Naming rule" sheetId="7" r:id="rId11"/>
    <sheet state="visible" name="Communication" sheetId="8" r:id="rId12"/>
    <sheet state="visible" name="Coding" sheetId="9" r:id="rId13"/>
    <sheet state="visible" name="QA Testing+Bug Logging" sheetId="10" r:id="rId14"/>
    <sheet state="visible" name="Production usage" sheetId="11" r:id="rId15"/>
    <sheet state="visible" name="Responde rule 1" sheetId="12" r:id="rId16"/>
    <sheet state="visible" name="Appendix"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Add more Categories in the Appendix sheet</t>
      </text>
    </comment>
    <comment authorId="0" ref="E7">
      <text>
        <t xml:space="preserve">For concise rules, the project can fill in the content directly in the sheet.</t>
      </text>
    </comment>
  </commentList>
</comments>
</file>

<file path=xl/sharedStrings.xml><?xml version="1.0" encoding="utf-8"?>
<sst xmlns="http://schemas.openxmlformats.org/spreadsheetml/2006/main" count="431" uniqueCount="235">
  <si>
    <t>RULES OF PROJECT</t>
  </si>
  <si>
    <t>RULES FOR REQUIREMENT</t>
  </si>
  <si>
    <t>No: BM-QT-1701-35</t>
  </si>
  <si>
    <t>Version: 1.3</t>
  </si>
  <si>
    <t>Issue Date: 22/09/2026</t>
  </si>
  <si>
    <t>SUN ASTERISK VIETNAM CO., LTD</t>
  </si>
  <si>
    <t>ISO/IEC 27001:2013&amp;ISO 9001:2015</t>
  </si>
  <si>
    <t>HISTORY OF CHANGES</t>
  </si>
  <si>
    <t>Version</t>
  </si>
  <si>
    <t>Change Item</t>
  </si>
  <si>
    <t>Description of changes</t>
  </si>
  <si>
    <t>I</t>
  </si>
  <si>
    <t>The project may refer to the sample rules below, adjust them as appropriate to its specific context, and supplement with additional rules if necessary.</t>
  </si>
  <si>
    <t>Change Date</t>
  </si>
  <si>
    <t>No.</t>
  </si>
  <si>
    <t>PURPOSE</t>
  </si>
  <si>
    <t>Add new</t>
  </si>
  <si>
    <t>Category</t>
  </si>
  <si>
    <t>Issue Date</t>
  </si>
  <si>
    <t>Rule Name</t>
  </si>
  <si>
    <t>No</t>
  </si>
  <si>
    <t>Description or link of rule</t>
  </si>
  <si>
    <t>Confirm information</t>
  </si>
  <si>
    <t>Rule in Japanese</t>
  </si>
  <si>
    <t>Update</t>
  </si>
  <si>
    <t>Detail explanation in Japanese</t>
  </si>
  <si>
    <t>Rule in Vietnamese</t>
  </si>
  <si>
    <t>Bổ sung các rule mẫu được xây dựng dựa trên các issue và sự cố thực tế từ các dự án.</t>
  </si>
  <si>
    <t>Detail explanation in Vietnamese</t>
  </si>
  <si>
    <t>Level of commitment</t>
  </si>
  <si>
    <t>This document describes the content of the rules agreed between Sun*VN and Sun*VN, Sun*VN and Sun*JP, Sun* and Customers. To ensure:
- All rules in the project that have been agreed between the parties must be officially stored.
- Every member of the project knows the information and must be confirmed to have grasped the information of each rule.
- Avoid miss communication during work transfer between project members.</t>
  </si>
  <si>
    <t>02/06/2025</t>
  </si>
  <si>
    <t>Apply</t>
  </si>
  <si>
    <t>PIC</t>
  </si>
  <si>
    <t>Notes (Reason of not apply)</t>
  </si>
  <si>
    <t>Sheet Communication: row 15 - 19</t>
  </si>
  <si>
    <t>Bổ sung 6 Rule liên quan đến hoạt động Communication của BrSE</t>
  </si>
  <si>
    <t>27/05/2026</t>
  </si>
  <si>
    <t>1.3</t>
  </si>
  <si>
    <t>All sheet</t>
  </si>
  <si>
    <t>Update mã biểu mẫu theo tiêu chuẩn ISO.</t>
  </si>
  <si>
    <t>II</t>
  </si>
  <si>
    <t>22/09/2026</t>
  </si>
  <si>
    <t>SCOPE OF APPLICATION</t>
  </si>
  <si>
    <t>Applies to all software development departments at Sun Asterisk Vietnam (including internal software development).</t>
  </si>
  <si>
    <t>[Thông tin thay đổi] Nếu có những thông tin mới (spec, các điểm chú ý...), buộc phải chia sẻ lại cho cả team.</t>
  </si>
  <si>
    <t>III</t>
  </si>
  <si>
    <t>Khi khách hàng cung cấp các thông tin mới như:
+ Thay đổi độ ưu tiên thực hiện task
+ Phát sinh thay đổi spec
+ Chú ý không sử dụng URL/API của môi trường PRD
Nếu không chia sẻ với cả team, khả năng cao sẽ phát sinh các vấn đề:
+ Vẫn tiếp tục theo thông tin cũ khiến lãng phí thời gian
+ Ưu tiên thực hiện các task chưa cần ưu tiên
+ Gây ra incident
Do đó, để tránh những vấn đề trên buộc phải thông báo cho team member khi có thông tin mới.</t>
  </si>
  <si>
    <t>PROCEDURES</t>
  </si>
  <si>
    <t>Requirement</t>
  </si>
  <si>
    <t>Quy định khi phân tích yêu cầu</t>
  </si>
  <si>
    <t>Step 1</t>
  </si>
  <si>
    <r>
      <rPr>
        <rFont val="Times New Roman"/>
        <sz val="12.0"/>
      </rPr>
      <t xml:space="preserve">List the agreed rule content on the </t>
    </r>
    <r>
      <rPr>
        <rFont val="Times New Roman"/>
        <color rgb="FF1155CC"/>
        <sz val="12.0"/>
        <u/>
      </rPr>
      <t>sheet Rules of project</t>
    </r>
  </si>
  <si>
    <t>Sun* Standard</t>
  </si>
  <si>
    <t>RULES FOR GENERAL ACTIVITIES MANAGEMENT</t>
  </si>
  <si>
    <t>Step 2</t>
  </si>
  <si>
    <r>
      <rPr>
        <rFont val="Times New Roman"/>
        <sz val="12.0"/>
      </rPr>
      <t xml:space="preserve">Create a survey form corresponding to each rule to get confirmation from project members according to the  </t>
    </r>
    <r>
      <rPr>
        <rFont val="Times New Roman"/>
        <color rgb="FF1155CC"/>
        <sz val="12.0"/>
        <u/>
      </rPr>
      <t>sample survey form</t>
    </r>
  </si>
  <si>
    <t>Link file responde google form of Requirement</t>
  </si>
  <si>
    <t>[Xác nhận thông tin] Khi phân tích spec, nếu có điều gì không hiểu rõ, hãy hỏi (xác nhận) cho thật rõ ràng.</t>
  </si>
  <si>
    <t>Thông thường, bản requirement được viết bằng text nên nếu có điều gì không rõ (dù là nội dung nhỏ và đơn giản như Item label) thì hãy nhờ xác nhận rõ ràng. 
BrSE hiểu lệch đồng nghĩa với việc Dev sẽ phát triển 1 tính năng hoàn toàn khác so với mong muốn của khách hàng.
Điều này xảy ra gây vất vả cho cả đôi bên, nên BrSE cần luôn sẵn có mindset này (KHÔNG RÕ THÌ HỎI CHO RÕ)</t>
  </si>
  <si>
    <t>Activities Management</t>
  </si>
  <si>
    <t>Quy định một số hoạt động chung trong dự án</t>
  </si>
  <si>
    <t>Link file responde google form of Activities Management</t>
  </si>
  <si>
    <t>[Xác nhận thông tin] Cho dù khách hàng có đánh giá tốt đi chăng nữa, nhưng nếu trên spec không ghi, và không có chỉ định/chỉ thị gì thì nhất định phải confirm lại</t>
  </si>
  <si>
    <t>Design</t>
  </si>
  <si>
    <t>Trong quá trình thực hiện dự án, chắc chắn sẽ có những case như:
+ Cá nhân tôi nhìn từ quan điểm người dùng, nếu làm theo Layout/logic thế này thì cũng ok mà
+ Tôi thấy đoạn code này hơi kỳ cục nên tôi sẽ refactoring lại
Đối với trường hợp khách hàng không viết trong spec hoặc chưa có xác nhận đồng ý, nếu tự ý làm theo phán đoán của cá nhân, thì có nguy cơ dẫn đến "không đáp ứng được yêu cầu khách hàng","phát sinh ảnh hưởng xấu tới các bên khác","tốn nhiều thời gian hơn dự định"...Do đó, trước khi làm, buộc phải liên lạc và xác nhận lại với phía khách hàng.</t>
  </si>
  <si>
    <t>Quy định liên quan đến design và technical</t>
  </si>
  <si>
    <t>Link file responde google form of Design</t>
  </si>
  <si>
    <t>MTGとかで口頭でOKが出た設計や実装方針でも再度文章にして正確にOKをもらいましょう</t>
  </si>
  <si>
    <t>Naming convention</t>
  </si>
  <si>
    <t>Quy định đặt trên ticket và Git</t>
  </si>
  <si>
    <t>Type of commitment</t>
  </si>
  <si>
    <t>Naming Rule</t>
  </si>
  <si>
    <t>Link file responde google form of Naming Rule</t>
  </si>
  <si>
    <t>Step 3</t>
  </si>
  <si>
    <t>Communication</t>
  </si>
  <si>
    <t>[Xác nhận thông tin] Tự xác nhận main logic trước khi nhờ khách hàng xác nhận.</t>
  </si>
  <si>
    <t>Quy định giao tiếp trong dự án</t>
  </si>
  <si>
    <r>
      <rPr>
        <rFont val="Times New Roman"/>
        <sz val="12.0"/>
      </rPr>
      <t xml:space="preserve">Create Form responses in separate sheets in this file and attach links to the Confirm information column (column G) in </t>
    </r>
    <r>
      <rPr>
        <rFont val="Times New Roman"/>
        <color rgb="FF1155CC"/>
        <sz val="12.0"/>
        <u/>
      </rPr>
      <t>sheet Rules of project</t>
    </r>
  </si>
  <si>
    <t>Trong quá khứ đã từng xảy ra case: nhờ khách hàng xác nhận lần cuối nhưng khi access vào từng màn hình thì ngay lập tức bị lỗi, nhấn các button không hoạt động. 
Việc này tạo những ấn tượng không tốt. Do đó, khi nhờ khách hàng xác nhận thì hãy tự xác nhận main logic trên môi trường của mình. Nếu bận, hãy nhờ thành viên QA xác nhận.</t>
  </si>
  <si>
    <t>Link file responde google form of Communication</t>
  </si>
  <si>
    <t>Coding</t>
  </si>
  <si>
    <t>Quy định cho hoạt động coding</t>
  </si>
  <si>
    <t>Note: This file link needs to be attached to the project's Slack channel for members to easily refer to when needed</t>
  </si>
  <si>
    <t>[Xác nhận thông tin] Nên xác nhận về môi trường test/device test (Test browser, iOS version...).</t>
  </si>
  <si>
    <t>Link file responde google form of Coding</t>
  </si>
  <si>
    <t>Đây là thông tin input cần thiết và liên quan tới effort. Nếu không xác nhận thì không thể estimate chính xác effort, hoặc không support trên các browser cần phải support.
Dẫn đến việc phát sinh nhiều lỗi, nếu không OT thì không kịp schedule, khách phải giãn lịch release với khách hàng của họ.</t>
  </si>
  <si>
    <t>Testing</t>
  </si>
  <si>
    <t>Quy định cho hoạt động testing và log bug</t>
  </si>
  <si>
    <t>[Git flow Management] Thống nhất Git flow trong team và với khách hàng:
- Nếu khách hàng không có yêu cầu đặc biệt, áp dụng Git flow của Sun*
- Nếu khách hàng có yêu cầu, cần thống nhất Git flow với khách hàng</t>
  </si>
  <si>
    <t>Testing+Bug log</t>
  </si>
  <si>
    <t>Link file responde google form of Testing + Bug log</t>
  </si>
  <si>
    <r>
      <rPr>
        <rFont val="Arial"/>
        <sz val="10.0"/>
      </rPr>
      <t xml:space="preserve">1. Áp dụng Git flow của công ty ở link sau: (bản tiếng Việt)
</t>
    </r>
    <r>
      <rPr>
        <rFont val="Arial"/>
        <color rgb="FF1155CC"/>
        <sz val="10.0"/>
        <u/>
      </rPr>
      <t>https://docs.google.com/presentation/d/1IlukqKO87kERmzm91yUHmFW8Ve4HlmGu/</t>
    </r>
    <r>
      <rPr>
        <rFont val="Arial"/>
        <sz val="10.0"/>
      </rPr>
      <t xml:space="preserve"> 
2. Dưới đây là ví dụ về việc thay đổi Git flow khi làm việc với khách hàng:
Thông thường Senior Developer tự merge PR, tuy nhiên cũng có trường hợp Senior Developer đẩy PR và khách hàng sẽ review, approve và merge. 
Ví dụ:
→Trước khi tạo PR sang repo của khách hàng, cần nhờ khách review trước với các nội dung dưới đây. (BrSE trao đổi thông qua Slack)
・URL của PR repo khách hàng
・Title/Description dự định sẽ viết trong PR gửi cho khách hàng
・Có/không thay đổi giá trị setting (viết khái quát)</t>
    </r>
  </si>
  <si>
    <t>Production usage</t>
  </si>
  <si>
    <t>Quy định cho hoạt động sử dụng production</t>
  </si>
  <si>
    <t>Link file responde google form of Production usage</t>
  </si>
  <si>
    <t>Appendix</t>
  </si>
  <si>
    <t>RULES FOR DESIGN</t>
  </si>
  <si>
    <t>[Task Management] Khi bắt đầu thực hiện task, hãy xác nhận xem đã đủ các thông tin cần thiết chưa.</t>
  </si>
  <si>
    <t>Tùy từng trường hợp mà việc phán đoán đã đủ thông tin để làm hay chưa sẽ khác nhau. Tuy nhiên, có thể tiến hành thao tác khi có các thông tin sau:
- Spec: Đối với từng case (thông thường, bất thường) thì thực hiện cái gì? theo trình tự nào?
- Database: Nếu có tài liệu Column matching hoặc ER map liên quan tới tính năng tương ứng, thì hãy làm rõ data liên kết và chỗ lưu data.
- Các phần liên kết: Nếu có liên quan tới các phần khác, thì xem có ảnh hưởng thế nào (impact range), hay đồng nhất các phần với nhau.
- Sample: Trong các trường hợp upload, download, loading, call API... nếu có sample thì dễ hiểu và dễ trao đổi vấn đề với nhau hơn.</t>
  </si>
  <si>
    <t>[Task Management] Khi làm task hoặc khi xác nhận nội dung liên lạc, nếu thấy có khả năng không tuân thủ được deadline thì lập tức liên lạc cho PSM/khách hàng ngay tại thời điểm nhận ra điều đó.</t>
  </si>
  <si>
    <t>Việc estimate có thể không diễn ra đúng theo như kế hoạch. Chắc chắn có những trường hợp không thể tuân thủ được deadline đã thống nhất trước đó. 
Vì thế, 
- Với project member, hãy liên lạc ngay với PSM hoặc các leader về việc không thể tuân thủ deadline: bối cảnh, lý do, điều chỉnh dự kiến,...
- Với PSM: hãy liên lạc cho khách ngay tại thời điểm thấy được việc có thể chậm deadline để khách có thể đưa ra quyết định "Điều chỉnh lại kế hoạch" hoặc "Bên khách cũng cùng đối ứng" ...</t>
  </si>
  <si>
    <t>RULES FOR NAMING RULE</t>
  </si>
  <si>
    <t>RULES FOR COMMUNICATION</t>
  </si>
  <si>
    <t>[Task Management] Ticket hóa các nội dung.</t>
  </si>
  <si>
    <t>Tạo ticket để log lại lịch sử task. Khi check ticket, có thể ngay lập tức nắm bắt được task làm gì? tại sao phát sinh task? ai là người chỉ thị...</t>
  </si>
  <si>
    <t>[Task Management] Member phải thường xuyên update ticket.</t>
  </si>
  <si>
    <t>Cần update ticket thường xuyên để nắm được tình hình task có theo dự định không, tối thiểu daily với các task đang ở trạng thái In-progress.</t>
  </si>
  <si>
    <t>[Sử dụng free source] Nếu muốn sử dụng 1 free library nào đó trong dự án, buộc phải liên lạc xác nhận lại với khách hàng. Khách hàng phê duyệt mới được sử dụng.</t>
  </si>
  <si>
    <t>Mỗi Free Library đều có license riêng. Có những library có những điểm hạn chế. Ví dụ như: nếu sử dụng Library có GPL license thì sẽ phải public code.
Vì thế, khi phát triển muốn dùng library nào thì hãy liên lạc với bên khách hàng. Chỉ sử dụng khi khách hàng đã phê duyệt.</t>
  </si>
  <si>
    <t>[Task Management] Hãy chỉ thực hiện đúng nội dung được viết trong ticket, trường hợp thực hiện ngoài nội dung đó, hãy liên lạc với PSM, khách hàng trước khi thực hiện.</t>
  </si>
  <si>
    <t>Khi làm cả nội dung không viết trong ticket, sẽ dẫn đến:
  + Không thể nắm bắt được chắc chắn phạm vi ảnh hưởng =&gt; có thể gây lỗi dẫn đến phần khác không hoạt động được
  + Implement bằng phương pháp không tốt, hoặc không đúng với giá trị kỳ vọng của khách hàng =&gt; phải revert lại, tốn effort
Do đó, nếu muốn implement các nội dung ngoài ticket, hãy xác nhận trước với PSM/khách hàng</t>
  </si>
  <si>
    <t>[Task Management] Khi được assign nhiều task một lúc, cần xác nhận độ ưu tiên của từng task.</t>
  </si>
  <si>
    <t>Việc không có độ ưu tiên có thể dẫn đến không đáp ứng kỳ vọng của khách hàng. Nếu phát sinh việc phải dừng task hiện tại để ưu tiên task mới thì hãy xác nhận rõ xem có cần thay đổi schedule hay không.</t>
  </si>
  <si>
    <t>[Sử dụng API] Khi phát triển API, thông thường thì cần phải support cả API version cũ nhưng hãy xác nhận lại.</t>
  </si>
  <si>
    <t>Thực tế đã có những dự án không supoort APP/Web version cũ và đã phải suy nghĩ phương pháp đối ứng khẩn cấp và phải đối ứng.
Nếu không support version cũ thì sẽ gây ảnh hưởng tới enduser (một vài tính năng hoặc tất cả các tính năng đều không chạy), nên thường sẽ cần việc support version cũ.
Tuy nhiên, cũng có trường hợp không cần support nên hãy để chắc chắn hãy xác nhận lại với khách hàng. Trường hợp cần, thì hãy Q&amp;A làm rõ xem support như thế nào.</t>
  </si>
  <si>
    <t>[Meeting] Khi họp tuần trực tiếp, cần tạo file meeting minute và memo lại nội dung cuộc họp.</t>
  </si>
  <si>
    <t>Meeting minutes ghi lại các nội dung đôi bên đã báo cáo, thảo luận. Nếu không có, dễ gây hiểu nhầm hoặc thiếu nội dung.</t>
  </si>
  <si>
    <t>[Ticket Title] Title của từng ticket cần có tiền tố để nhận biết và filter dễ dàng khi cần
(Áp dụng với dự án KHÔNG sử dụng Pherusa)</t>
  </si>
  <si>
    <t>Một số quy ước tiền tố:
- Nếu là ticket cho Epic:
[Epic ID] [Epic name] Title...
- Nếu là ticket cho user story:
[Epic ID] [user story name] Title...
- Nếu là ticket cho Dev task, QA task cho các user story tương ứng:
[user story ID] [xx task] Title...
Trong đó xx task là Dev task, QA task, Investigation task, Infra task,...
- Nếu là ticket bug:
[user story ID] [xx bug] Title...
Trong đó xx bug là UT bug, IT bug, ST bug, UAT bug, Production bug,...</t>
  </si>
  <si>
    <t>[Q&amp;A] Phân loại Q&amp;A theo priority để đảm bảo thời gian phản hồi phù hợp với tiến trình phát triển
◇ Urgent: Cần giải quyết, xử lý ngay, cho dù những phần công việc khác có thể bị chậm đi.【cần hoàn thành trong ngày】
◇ High: Cấn đề liên quan đến nhiều yếu tố khác nhau. ảnh hưởng lớn đến việc implement/test.【cần giải quyết trong vài ngày】
◇ Normal: Vấn đề chỉ liên quan đến 1 yếu tố. có thể ưu tiên giải quyết các công việc/case khác.【có thể đặt deadline để giải quyết】
◇ Low: Cần giải quyết, nhưng có cách khác để xử lý tạm thời nên ảnh hưởng không đáng kể, hoặc không ảnh hưởng đến việc vận hành trong thực tế.【không cần đặt deadline giải quyết】</t>
  </si>
  <si>
    <t>Đối với việc trả lời Q&amp;A:
・Phía đưa ra Q&amp;A: Nếu không cần confirm urgent nữa, cần báo lại sớm với bên kia (khách hàng) điều đó.
・Phía confirm Q&amp;A: Mặc dù Q&amp;A đang được đánh urgent, nhưng nếu cảm thấy phần đó không thể confirm trong thời gian ngắn được (tức không thể đảm bảo được việc thực hiện nó với priority urgent) thì hãy phản hồi lại không thể confirm trong thời gian ngắn được.
→ Nếu đánh priority là Urgent, nhưng cả tháng trời không có động tĩnh, chuyển biến gì thì sẽ làm mất đi ý nghĩa vốn có của từ Urgent.
→ Về priority "High" cũng tương tự như trên.
→ Khách hàng/Senior Developer đã đưa ra rule cần xử lý trong ngày đối với các task/issue được đánh priority là Urgent, nên mong 2 bên sẽ tuân thủ quy tắc này. Nếu cảm thấy không thể giải quyết urgent được, hãy liên lạc lại ngay. Nếu do khách hàng không thể phản hồi gấp mà công việc Senior Developer gặp khó khăn, thì chính khách hàng cũng là bên chịu ảnh hưởng bởi việc đó. Lúc đó, có thể đưa ra các option như giải quyết việc đó vào thứ 7, Chủ Nhật, thâm chí là đêm khuya, hoặc từ bỏ nó. Cứ nghĩ rằng sẽ giải quyết được sớm, cuối cùng lại mãi không giải quyết xong, kết quả sẽ dẫn đến không quản lý được dự án đúng như mong muốn.</t>
  </si>
  <si>
    <t>[File Management] Nếu muốn quyền view/edit nội dung của một file nào đó trên server của khách hàng, hãy liên lạc với người phụ trách và xin quyền.</t>
  </si>
  <si>
    <t>1. Cần liên lạc với người phụ trách những thông tin sau để xin quyền View/Edit nội dung của một file trên server của khách hàng:
- Người request
- Role trong dự án
- File/Folder cần cấp quyền
- Lý do, mục đích cần phân quyền
- Thời gian hiệu lực của việc phân quyền access
- Các cam kết không sử dụng sai mục đích, thận trọng với các file trên Production,...
2. Tuyệt đối không sử dụng button "Request Access" của GG Suite</t>
  </si>
  <si>
    <t>[PR Title] Title của từng PR cần có tiền tố để nhận biết và filter dễ dàng khi cần</t>
  </si>
  <si>
    <t>Một số quy ước tiền tố:
- Khi phát triển user story mới:
[user story ID] [Development] Title
- Khi maintain user story đã có sẵn:
[user story ID] [Maintenance] Title
- Khi fix bug:
[bug ID] Title</t>
  </si>
  <si>
    <t>【コミュニケーション】誰かに連絡を取る必要がある場合は、その情報に関わるすべての人の名前を明記してください。</t>
  </si>
  <si>
    <t>[Client budget management] Tất cả các thay đổi liên quan đến chi phí sử dụng third-party services (AWS, Azure, OpenAI,...) đều phải thông báo cho khách hàng và nhận được phê duyệt từ khách hàng trước khi vận dụng vào hệ thống</t>
  </si>
  <si>
    <t>Các thay đổi khiến chi phí sử dụng các service của bên thứ ba có thể là:
- Thay đổi giải pháp sử dụng dịch vụ
- Nâng cấp gói dịch vụ cao hơn
...
Với các hoạt động như trên tuyệt đối cần phải thông báo cho khách hàng, khách hàng phê duyệt thì mới được vận dụng, áp dụng vào hệ thống</t>
  </si>
  <si>
    <t>クライアントをチームメンバーとして扱いましょう。チーム内での情報共有は非常に重要です。関係者がいる場合は、その人物についても言及してください。
例えば、「デザインを待っているのですが、クライアントのデザイナーからまだ届いていないため、スケジュール変更が必要になるかもしれません。」という場合、スケジュール変更を担当する可能性のある人物についても言及してください。
こうすることで、関係者全員が状況を理解し、適切な対応を取ることができます。</t>
  </si>
  <si>
    <t>[Communication] Khi có thông tin cần liên lạc, hãy mention tất cả những người có liên quan đến thông tin đó</t>
  </si>
  <si>
    <t>Hãy coi khách hàng như một team member. Việc chia sẻ thông tin trong team là rất quan trọng. Trường hợp có người liên quan, hãy mention cả những người đó. 
Ví dụ: Đang đợi design, nhưng vẫn chưa nhận được design từ designer của bên khách hàng nên có khả năng phải re-schedule. Khi đó cần mention cả người có thể re-schedule.
Như vậy giúp những người liên quan nắm được tình hình và đưa ra action phù hợp tiếp theo.</t>
  </si>
  <si>
    <t>RULES FOR CODING</t>
  </si>
  <si>
    <t>【連絡】緊急時には、約30分～1時間の間、継続的に情報を報告してください。</t>
  </si>
  <si>
    <t>緊急事態であるため、できる限り迅速な対応が必要です。対応状況を顧客に継続的に伝えることで、安心感を与えることができます。</t>
  </si>
  <si>
    <t>[Communication] Trường hợp khẩn cấp, hãy liên tục báo cáo thông tin trong vòng khoảng 30 phút/1 tiếng.</t>
  </si>
  <si>
    <t>Do là trường hợp khẩn cấp, cần đối ứng càng nhanh càng tốt. Việc liên tục update tình hình đối ứng giúp cho khách hàng yên tâm hơn.</t>
  </si>
  <si>
    <t>【コミュニケーション】効果的なコミュニケーションのためには、曖昧な情報は避け、できる限り明確で分かりやすい情報を提供することが重要です。</t>
  </si>
  <si>
    <t>曖昧で一般的な情報では、人によって解釈が異なります。
そのため、誤った実装を避けるためには、すべての情報を明確にする必要があります。
説明が難しい場合は、例や参考リンクを提供することで理解を深めることができます。この方法は説明時間を短縮し、問題の理解を促進するため、効果的な説明方法と言えます。
ルール：→ 各スレッドでは、1つのストーリー/トピックのみを議論してください。
→ すべての質問で顧客について言及しないでください。基本的に、顧客がすべての責任を負っているわけではないので、顧客が支援を必要とするタスクや、顧客が責任を負うタスクについて質問する場合のみ、顧客について言及してください。</t>
  </si>
  <si>
    <t>[Trao đổi] Để trao đổi hiệu quả, cần tránh những thông tin chung chung, hãy đưa thông tin càng dễ hiểu càng tốt.</t>
  </si>
  <si>
    <t>RULES FOR QA TESTING AND BUG LOGGING</t>
  </si>
  <si>
    <t xml:space="preserve">Với những thông tin chung chung mơ hồ thì đối với mỗi người khác nhau, cách nghĩ sẽ khác nhau. 
Do đó, để tránh việc implement không đúng thì phải làm rõ mọi thông tin. 
Nếu khó giải thích thì có thể đưa ví dụ hoặc link tham khảo để dễ hiểu. Cách này giúp không tốn nhiều thời gian để giải thích và hiểu được vấn đề nên sẽ là cách giải thích hiệu quả.
Quy tắc: 
→ Mỗi một thread chỉ nói về 1 câu chuyện/chủ đề.
→ Không phải chuyện gì cũng mention khách hàng vào để hỏi. Về cơ bản, khách hàng không phải người phụ trách mọi việc, nên chỉ mention khách hàng để hỏi những việc nhờ khách hàng hoặc do khách hàng phụ trách. </t>
  </si>
  <si>
    <t>【緊急報告】本番環境でエラーを発見した場合は、直ちに報告してください。原因究明や是正措置については、後日協議の上決定いたします。</t>
  </si>
  <si>
    <t>まず、クライアントは「発生したエラーを含むプロジェクトの状況」を把握できます。
PRDで発生した問題への対処方法についてクライアントと相談せずに作業を進めると、以下のような事態を招く可能性があります。
+ 不適切な対応や優先順位付け
+ 調査に時間を費やすため、次回のリリースやその他のタスクが延期される
これらの問題を回避するため、PRDで発見されたエラーはすべて報告するようにしてください。</t>
  </si>
  <si>
    <t>[Báo cáo khẩn cấp] Khi phát hiện lỗi trên Production, hãy ngay lập tức báo cáo. Việc điều tra nguyên nhân hay đối sách xử lý có thể thảo luận và quyết định sau.</t>
  </si>
  <si>
    <t>Trước nhất, khách hàng có thể nắm được "tình hình dự án gồm cả lỗi đã phát sinh".
Nếu không hội ý với khách hàng xem xử lý thế nào đối với issue xảy ra trên PRD thì có thể dẫn đến việc:
+ Đối ứng sai cách, sai độ ưu tiên
+ Phải hoãn lịch release tiếp theo hoặc hoãn task khác do mất thời gian điều tra
Để tránh những việc trên, lưu ý buộc phải báo cáo khi thấy lỗi trên PRD.</t>
  </si>
  <si>
    <t>RULES FOR PRODUCTION USAGE</t>
  </si>
  <si>
    <t>【提案】提案分類：
レベル1：アイデア段階 - 提案内容はまだ誰もレビューしていません。
レベル2：チーム内の他のエンジニアと協議済み：技術的にはおそらく正しいものの、以前のプロジェクトと競合する可能性があります。
レベル3：シニアエンジニアと協議し、責任者／SDMが承認済み。正式な内容がクライアントに送付されます。</t>
  </si>
  <si>
    <t>プロジェクトにおける推奨事項のルールを遵守することは、製品の品質向上と顧客への提案力向上に貢献します。
可能であれば、月に一度、顧客に役立つ提案を送信してください。</t>
  </si>
  <si>
    <t>[Proposal] Phân loại các đề xuất:
Lv.1: Just Idea - Chưa có ai review nội dung recommend
Lv.2: Đã thảo luận với các engineer khác trong team: khả năng cao có thể đúng về mặt kỹ thuật nhưng có thể dẫn đến conflict với Project trước đó.
Lv.3: Đã có thảo luận với Senior Engineer và có xác nhận của Head/SDM, là nội dung chính thức chuyển sang khách hàng</t>
  </si>
  <si>
    <t>Việc tuân thủ rule khi recommend trong dự án góp phần nâng cao chất lượng sản phẩm và khả năng đề xuất ý tưởng cho khách hàng.
Nếu có thể hãy thực hiện một tháng một lần gửi các đề xuất hữu ích cho khách hàng.</t>
  </si>
  <si>
    <t>[Coding Standard] Quy chuẩn viết code an toàn về kiểu dữ liệu trong TypeScript</t>
  </si>
  <si>
    <t>Hạn chế dùng các kiểu dữ liệu ko xác định như any.
Nếu bắt buộc phải dùng thì cần thêm comment eslint giải thích lí do tại sao dùng.</t>
  </si>
  <si>
    <t>【対応】連絡を受けた際には必ず対応いたします。即時対応が不可能な場合は、社内確認を行い、再度ご連絡の上、対応可能な日時を確認させていただきます。</t>
  </si>
  <si>
    <t>コミュニケーションの基本原則として、質問や指示を受けた場合は、メッセージを読んだらすぐに返信することが必須です。これは特に緊急の場合に重要です。
返信を怠ると、顧客は状況を理解し、適切な指示を出すことができなくなります。
もちろん、詳細な回答をすぐにできない場合もあります。そのような場合は、情報を受け取ったことを確認する必要があります。その後、チームに情報を共有し、いつ回答できるかを確認してください。
緊急対応が必要でありながら、さらに確認が必要なタスクについては、顧客に状況を常に伝えるために、頻繁に連絡を取りましょう。例えば、「2時間 報告 （約2時間ごとに状況を報告します）」のように。</t>
  </si>
  <si>
    <t>[Phản hồi] Phải trả lời lại khi có liên lạc tới. Trường hợp không thể trả lời được ngay thì xác nhận nội bộ và liên lạc lại xem khi nào có thể trả lời được.</t>
  </si>
  <si>
    <t>Như một nguyên tắc cơ bản trong communication, khi có câu hỏi hoặc chỉ thị, buộc phải trả lời khi đã đọc message. Đặc biệt là những trường hợp khẩn cấp. 
Việc không trả lời lại dẫn đến việc khách hàng không thể nắm bắt được tình hình và không thể đưa ra chỉ thị hành động tiếp theo sao cho phù hợp. 
Tất nhiên, có những trường hợp không thể trả lời chi tiết ngay được. Khi đó buộc trả lời lại về việc đã nhận được thông tin. Sau đó, chia sẻ lại thông tin với team và xác nhận khi nào có thể trả lời được. 
Đối với những task cần xử lý gấp nhưng vẫn cần phải xác nhận thêm thì hãy thường xuyên liên lạc để khách nắm được tình hình. Ví dụ: 2時間ごとに状況報告致します ( Cứ khoảng 2 tiếng, tôi sẽ báo cáo tình hình 1 lần)</t>
  </si>
  <si>
    <t>【フィードバック】15分で学ぶコミュニケーションの原則。</t>
  </si>
  <si>
    <t>顧客から質問を受け取ったら、次のオプションのいずれかを選択して 15 分以内に回答してください。
- わかりました (情報を受け取りました)
- 今確認しています (チームに確認する必要があります)
- 後ほど確認します。 (チームは現在調査中です)</t>
  </si>
  <si>
    <t>[Phản hồi] Nguyên tắc giao tiếp trong vòng 15 phút.</t>
  </si>
  <si>
    <t>[Progress report] Hàng ngày báo cáo tiến độ tạo testcase và/hoặc thực hiện testcase lên ticket tương ứng trên Pherusa trước 17h</t>
  </si>
  <si>
    <t>Bất kỳ khi nào nhận được câu hỏi từ phía khách hàng, lựa chọn một trong các options trả lời trong vòng 15 phút
- わかりました（Tôi đã nắm được thông tin）
- 今確認しています（Tôi cần confirm với team）
- 後ほど確認します．お待ち下さい（Team đang tiến hành điều tra）</t>
  </si>
  <si>
    <t>Hàng ngày báo cáo tiến độ tạo testcase và/hoặc thực hiện testcase lên ticket tương ứng trên Pherusa trước 17h:
1. Số test case
2. Spent time
3. Remaining time (dự kiến)</t>
  </si>
  <si>
    <t>【会議】すべてのプロジェクトに固定の議題テンプレートを適用します：全体の進捗状況／発生した問題／双方向の確認／ToDo。</t>
  </si>
  <si>
    <t>議題テンプレートを標準化することで、会議の質と効果を高めることができます。
各セクションの詳細：
→ 全体的な進捗状況：作業の全体的な進捗状況を共有します。
→ 発生している問題：現在抱えている問題や懸念事項を共有します。
→ 双方向確認：クライアント2社とプロジェクトチーム間で共有する必要のある内容です。
→ To-Do：次回の会議までに完了すべきアクション項目です。</t>
  </si>
  <si>
    <r>
      <rPr>
        <rFont val="Arial"/>
        <color rgb="FFFF0000"/>
        <sz val="10.0"/>
      </rPr>
      <t xml:space="preserve">[Meeting] Áp dụng </t>
    </r>
    <r>
      <rPr>
        <rFont val="Arial"/>
        <color rgb="FFFF0000"/>
        <sz val="10.0"/>
        <u/>
      </rPr>
      <t>template agenda</t>
    </r>
    <r>
      <rPr>
        <rFont val="Arial"/>
        <color rgb="FFFF0000"/>
        <sz val="10.0"/>
      </rPr>
      <t xml:space="preserve"> cố định cho tất cả dự án: Tiến độ tổng thể / Vấn đề phát sinh / Xác nhận 2 chiều / Todo.</t>
    </r>
  </si>
  <si>
    <t>[Coding Standard] Cấu hình VS Code &amp; Extension hỗ trợ tuân thủ Coding Convention</t>
  </si>
  <si>
    <t>Nên cài các extension liên quan đến việc format code vì khách hàng set rule khá chặt. Cài extension giúp mình chủ động hơn, có thể phát hiện lỗi lúc code luôn.
Recommend: ESLint, Prettier, EditorConfig for VS Code</t>
  </si>
  <si>
    <t>[Bug log] Hàng ngày log bug phát hiện được trong quá trình QA testing lên Pherusa</t>
  </si>
  <si>
    <t>Hàng ngày log bug phát hiện được trong quá trình QA testing lên Pherusa:
1. Log bug theo đúng naming rule
2. Báo cho Dev lead số bug mình đã log
3. Daily report số bug đã log trong ngày cho PSM</t>
  </si>
  <si>
    <t>[Thao tác trên production] Hãy xác nhận xem có thể được phép thao tác gì trên Staging/Production hoặc với các API. Đặc biệt là thông tin mail address và các thông tin cá nhân.</t>
  </si>
  <si>
    <t>Mail Address, thông tin cá nhân hoặc những data trên PRD là những thứ vô cùng quan trọng Nếu bị lộ thông tin này sẽ gây incident. Có những incident khiến cho công ty phải phá sản. Nên hãy đặc biệt chú ý.</t>
  </si>
  <si>
    <t xml:space="preserve">[Coding Standard] Tiêu chuẩn của Code Documentation </t>
  </si>
  <si>
    <t>Cần phải thêm JSDoc comment theo rule eslint của khách.
JSDoc comment cần bắt đầu bằng động từ nếu đó là function.</t>
  </si>
  <si>
    <t>[Re-test] Thực hiện đầy đủ quy trình re-test bug cơ bản trong dự án</t>
  </si>
  <si>
    <t>Thực hiện đầy đủ quy trình re-test bug cơ bản trong dự án:
1. Confirm bug impact range mà Dev đã điền, dựa vào kinh nghiệm và data lịch sử để phán đoán tính đúng và đủ của impact range
2. Tạo bộ regression test case để bao phủ impact range ở bước 1
3. Thực hiện test để xác nhận bug đã fix và impact range không phát sinh thêm bug
- Nếu bug chưa được fix -&gt; Re-open bug
- Nếu bug đã fix -&gt; Resolved
4. Report kết quả cho Dev lead, PSM</t>
  </si>
  <si>
    <t>[Coding Standard] Xử lý lỗi HTTP</t>
  </si>
  <si>
    <t>Với lỗi 422 thì BẮT BUỘC dùng `JSON.stringfy` với nội dung message vì lỗi này liên quan đến validation, message có thể có dạng object.
Kể cả với message dạng string mà trả ra lỗi 422 thì cùng cần dùng hàm này để có tính đồng bộ.</t>
  </si>
  <si>
    <t>[Coding Standard] API Development Standards</t>
  </si>
  <si>
    <t>Việc thống nhất template agenda giúp nâng cao chất lượng và hiệu quả của các buổi meeting.
Chi tiết từng mục:
→ Tiến độ tổng thể: Chia sẻ tình hình tiến độ công việc chung.
→ Vấn đề phát sinh: Chia sẻ các vấn đề hoặc lo ngại hiện tại.
→ Xác nhận 2 chiều: Các nội dung cần đồng bộ nhận thức giữa 2 khách hàng và team dự án
→ Todo: Các action item cần xử lý trước buổi meeting tiếp theo.</t>
  </si>
  <si>
    <t>Với API POST/PUT thì BẮT BUỘC phải viết schema validation và unit test để validate request body.</t>
  </si>
  <si>
    <t>[Thao tác trên production] Hãy xác nhận với khách hàng và nhận được sự phê duyệt trước khi sử dụng Production.</t>
  </si>
  <si>
    <t>Mặc dù account được cấp đã được khách hàng cho phép sử dụng để đăng nhập vào môi trường production, tuy nhiên cần chú ý xin phép và nhận được sự phê duyệt trước khi đăng nhập vào production. Các thông tin cần thiết để xin phép bao gồm:
1. Người đăng nhập
2. Mục đích đăng nhập
3. Thời gian đăng nhập
4. Cam kết không tự ý sửa, xóa, thay đổi data produciton mỗi khi đăng nhập
5. Trường hợp đăng nhập để thay đổi data, nâng cấp phần mềm,... theo chỉ thị khách hàng, cần tuân theo trình tự Release Operation như thế nào trước và phải được sự phê duyệt bằng văn bản của khách hàng.</t>
  </si>
  <si>
    <t xml:space="preserve">【会議】会議の少なくとも1日前までに議題をクライアントに送付し、会議後24時間以内に議事録／要約を送付してください。
</t>
  </si>
  <si>
    <t>Responde Kết quả phản hồi xác nhận rule 1</t>
  </si>
  <si>
    <t>[Coding Standard] Quản lý và kiểm soát file migration khi sử dụng ORM (TypeORM)</t>
  </si>
  <si>
    <t xml:space="preserve">事前に議題を送付することで、クライアントは会議の内容を事前に把握でき、会議の進行を円滑に進め、無関係な話題に逸れることを防ぐことができます。
議事録／要約を24時間以内に送付することで、合意された内容と主要なポイントが100%確実に記録され、情報に誤りがあった場合でも速やかに修正することが可能になります。
</t>
  </si>
  <si>
    <t>- File migration cần đảm bảo up/down đều hoạt động.
- Cần chú ý nội dung file, có thể sửa một số câu lệnh để tránh mất data (do migration là typeorm tự sinh nên cần kiểm tra lại)
Ví dụ: Thay vì dùng `drop` và `add` column thì có thể dùng `change`, `modify` để thay đổi cột.</t>
  </si>
  <si>
    <r>
      <rPr>
        <rFont val="Arial"/>
        <color rgb="FFFF0000"/>
        <sz val="10.0"/>
      </rPr>
      <t>[</t>
    </r>
    <r>
      <rPr>
        <rFont val="Arial"/>
        <color rgb="FFFF0000"/>
        <sz val="10.0"/>
      </rPr>
      <t>Meeting</t>
    </r>
    <r>
      <rPr>
        <rFont val="Arial"/>
        <color rgb="FFFF0000"/>
        <sz val="10.0"/>
      </rPr>
      <t xml:space="preserve">] Gửi agenda cho KH ít nhất 1 ngày trước khi meeting; gửi recap/minutes trong vòng 24h sau.
</t>
    </r>
  </si>
  <si>
    <t xml:space="preserve">Gửi agenda trước giúp khách hàng biết trước những gì sẽ diễn ra, giúp buổi họp đi đúng hướng, tránh lan man vào các chủ đề ngoài lề.
Gửi minutes/recap trong 24h giúp giữ nguyên vẹn 100% bối cảnh và nội dung cốt lõi đã thống nhất, đính chính kịp thời các thông tin nếu có sai lệch.
</t>
  </si>
  <si>
    <t>[Cảnh báo production] Cài đặt extension Production Alert trên máy từng member dự án.</t>
  </si>
  <si>
    <t>1. Cài đặt Production Alert extension trên máy của từng member
2. Nếu popup Production Alert hiện lên, việc thao tác trên đó phải tuân theo yêu cầu khi thao tác trên môi trường production. Tất cả mọi hành động đều phải rất cẩn thận và có sự cân nhắc kĩ càng, phê duyệt từ khách hàng.</t>
  </si>
  <si>
    <t>[Coding Standard] Quy ước viết service thao tác DB: khi nào dùng class, khi nào không</t>
  </si>
  <si>
    <t>- Với các service thao tác trực tiếp với db như create / update / delete. Chỉ các function cần transaction và thật sự cần bỏ trong class mới viết trong class, còn lại sẽ viết bên ngoài</t>
  </si>
  <si>
    <t>【会議ツール】自動文字起こし機能（Gemini Note、Meet+）を有効にして、聞き逃しを最小限に抑えましょう。</t>
  </si>
  <si>
    <t>自動文字起こしツールを使用すると、会議中の重要な情報をすべて記録でき、情報の漏れのリスクを最小限に抑えることができます。</t>
  </si>
  <si>
    <t>[Meeting tool]Bật tính năng auto-transcript (Gemini Note, Meet+) để giảm thiểu miss thông tin.</t>
  </si>
  <si>
    <t>Việc sử dụng công cụ auto-transcript giúp ghi lại đầy đủ thông tin quan trọng trong meeting, hạn chế việc bỏ sót thông tin.</t>
  </si>
  <si>
    <t>This Project Internal</t>
  </si>
  <si>
    <t>[Coding Standard] Sắp xếp thứ tự hàm từ "con đến cha" để dễ review</t>
  </si>
  <si>
    <t>- Sắp xếp các hàm theo thứ tự từ con đến cha để review dễ dàng hơn, tránh cuộn chuộn nhiều. VD: A gọi B và C gọi D, thứ tự sẽ là B -&gt; A -&gt; D -&gt; C</t>
  </si>
  <si>
    <t>【情報確認】BrSE/PSMは、標準フォーマット（背景／業務フロー／実装範囲／設計詳細）に照らし合わせてスコープを再確認する必要があります。
複雑な要件の場合は、確認前にフローチャートまたは具体的なユースケースを用いて説明してください。</t>
  </si>
  <si>
    <t>スコープ検証プロセスを標準化することで、誤解や不適切な実装を防ぐことができます。
各セクションの内容：
→ 背景：要件の背景と目的。
→ ビジネスフロー：関​​連するビジネスプロセスの概要。
→ 実装範囲：今回実施する内容を明確に定義します。
→ 設計詳細：具体的な仕様とロジック。
複雑な要件の場合は、フローチャートやユースケースを用いて、正確な理解を促し、視覚的に表現する必要があります。</t>
  </si>
  <si>
    <t>[Information Confirmation] BrSE/PSM phải double-check scope với format chuẩn (Background/Business flow/Phạm vi implement/Chi tiết thiết kế).
Với yêu cầu phức tạp: minh họa bằng flowchart hoặc use case cụ thể trước khi confirm.</t>
  </si>
  <si>
    <t>Việc chuẩn hóa quy trình xác nhận scope giúp tránh hiểu nhầm và implement sai.
Nội dung từng phần:
→ Background: Bối cảnh và mục đích phát sinh yêu cầu.
→ Business flow: Toàn cảnh luồng nghiệp vụ liên quan.
→ Phạm vi implement: Xác định rõ những gì sẽ được thực hiện trong lần này.
→ Chi tiết thiết kế: Các spec và logic cụ thể.
Với các yêu cầu phức tạp, cần minh họa bằng flowchart hoặc use case để tăng độ chính xác trong việc đồng bộ nhận thức.</t>
  </si>
  <si>
    <t>[PR] Viết đầy đủ title và description bằng tiếng Anh khi tạo PR</t>
  </si>
  <si>
    <t>PR khi đẩy lên thì phải điền đẩy đủ description, title bằng tiếng Anh để thuận tiện cho team mình và khách đọc hiểu</t>
  </si>
  <si>
    <r>
      <rPr>
        <rFont val="Arial"/>
        <sz val="10.0"/>
      </rPr>
      <t xml:space="preserve">[Meeting] プロジェクトのBrSE/コンタクトポイントは、顧客と対応する前にプロジェクトのドメイン資料を熟読すること。
本タスクのサポートとして、Sun*Clioを活用すること。
BrSEが </t>
    </r>
    <r>
      <rPr>
        <rFont val="Arial"/>
        <color rgb="FF1155CC"/>
        <sz val="10.0"/>
        <u/>
      </rPr>
      <t>checklist Project new member</t>
    </r>
    <r>
      <rPr>
        <rFont val="Arial"/>
        <sz val="10.0"/>
      </rPr>
      <t xml:space="preserve"> に従って実施したことを確実に確認すること。</t>
    </r>
  </si>
  <si>
    <t>[PR] PR bắt buộc điền các mục: What, QA, Ref</t>
  </si>
  <si>
    <t>Phải điền tối thiểu các mục: What, QA, Ref.
(QA là cách mình test, ví dụ ping API, chạy trên màn hình, unit test, ... chứ ko phải note impact cho team QA. Phần QA thì nên gắn screenshot, gif, video)</t>
  </si>
  <si>
    <t>[PR] Gắn label "Don't merge" khi PR còn phụ thuộc vào PR Frontend</t>
  </si>
  <si>
    <t>Nếu PR đẩy lên mà cần đợi PR của FE nữa thì sẽ gắn label "Don't merge"</t>
  </si>
  <si>
    <t>[Github] Bật thông báo GitHub để theo dõi review từ khách hàng</t>
  </si>
  <si>
    <t>Cần bật thông báo github vì khách hàng sẽ chỉ review trên git và ko thông báo lại trên slack nữa.</t>
  </si>
  <si>
    <t>Affected range</t>
  </si>
  <si>
    <t>顧客とのミーティング前に専門知識を習得しておくことで、会話の質が向上し、的外れな質問や誤解を避けることができます。
Sun*Clioは、プロジェクト関連文書を検索・参照できる社内ナレッジベースツールです。
このような準備は、BrSE（ビジネス・ソリューション・エンジニア）のプロ意識を高め、顧客との信頼関係構築に役立ちます。</t>
  </si>
  <si>
    <r>
      <rPr>
        <rFont val="Arial"/>
        <color rgb="FFFF0000"/>
        <sz val="10.0"/>
      </rPr>
      <t>[Meeting] BrSE/contact point của dự án phải đọc kỹ tài liệu domain của dự án trước khi tiếp xúc với KH.
Sử dụng Sun*Clio để hỗ trợ task này.
Đảm bảo BrSE đã thực hiện theo</t>
    </r>
    <r>
      <rPr>
        <rFont val="Arial"/>
        <color rgb="FFFF0000"/>
        <sz val="10.0"/>
      </rPr>
      <t xml:space="preserve"> </t>
    </r>
    <r>
      <rPr>
        <rFont val="Arial"/>
        <color rgb="FFFF0000"/>
        <sz val="10.0"/>
        <u/>
      </rPr>
      <t>checklist Project new member</t>
    </r>
  </si>
  <si>
    <t>[Github] Push code hàng ngày</t>
  </si>
  <si>
    <t>Yes</t>
  </si>
  <si>
    <t>Mỗi thành viên phải đẩy code lên nhánh cá nhân trước 04:30 AM hằng ngày để đảm bảo đồng bộ tiến độ và tránh mất dữ liệu.</t>
  </si>
  <si>
    <t>Việc nắm vững kiến thức domain trước khi gặp khách hàng giúp nâng cao chất lượng cuộc trò chuyện, tránh đặt câu hỏi lạc đề hoặc gây hiểu nhầm.
Sun*Clio là công cụ knowledge base nội bộ, có thể dùng để tra cứu và tham khảo các tài liệu liên quan đến dự án.
Sự chuẩn bị này giúp BrSE nâng cao tính chuyên nghiệp và tạo dựng niềm tin với khách hàng.</t>
  </si>
  <si>
    <t>[Github] Merge vào nhánh chính sau khi hoàn thành từng màn hình</t>
  </si>
  <si>
    <t>Khi một màn hình đã được hoàn thiện (đủ để các thành viên khác và Leader kiểm tra), thành viên cần tiến hành merge code vào nhánh chính (main).</t>
  </si>
  <si>
    <t>This Project by commitment with Client</t>
  </si>
  <si>
    <t>[Github] Bắt buộc xử lý xung đột trước khi merge</t>
  </si>
  <si>
    <t>Trước khi gửi yêu cầu merge (pull request), bắt buộc phải cập nhật code mới nhất từ nhánh chính, kiểm tra và xử lý toàn bộ xung đột (conflicts) nếu có.</t>
  </si>
  <si>
    <t>Release Operation</t>
  </si>
  <si>
    <t>[Github] Quy định vận hành Github</t>
  </si>
  <si>
    <t>- Chỉ có leader được phép merge code vào nhánh chính.
- Mỗi Pull Request ít nhất 2 người approved mới được merge.
- Chấp nhận nhiều commit trong một pull (để thuận tiện trong review code).
- Không sử dụng force push (push -f) trừ trường hợp rebase code.</t>
  </si>
  <si>
    <t>[UT] Quy định viết unit test bắt buộc trong dự án</t>
  </si>
  <si>
    <t>BẮT BUỘC viết unit test cho:
- Các file, hàm trong *.schema.ts (liên quan đến validate input)
- Các file, hàm helper
- Một số API đặc biệt</t>
  </si>
  <si>
    <t>[UT] Quy ước tổ chức và đặt tên file unit test</t>
  </si>
  <si>
    <t>File test được đặt cùng thư mục với file gốc, và đăt tên theo định dạng: *.test.ts
Ví dụ: Store.schema.ts =&gt; Store.schema.test.ts. checkOrderByValid.ts =&gt; checkOrderByValid.test.ts</t>
  </si>
  <si>
    <t>[UT] Chạy test cho một hoặc một vài file cụ thể</t>
  </si>
  <si>
    <t>Để chạy một (một số) file test thay vì chạy cả thư mục thì chạy lệnh:
`yarn test-this:jest path_to_file.ts`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</si>
</sst>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yy"/>
    <numFmt numFmtId="165" formatCode="dd-mmm-yyyy"/>
    <numFmt numFmtId="166" formatCode="dd&quot;/&quot;m&quot;/&quot;yyyy"/>
  </numFmts>
  <fonts count="30">
    <font>
      <sz val="10.0"/>
      <color rgb="FF000000"/>
      <name val="Arial"/>
      <scheme val="minor"/>
    </font>
    <font>
      <b/>
      <sz val="24.0"/>
      <color theme="1"/>
      <name val="Times New Roman"/>
    </font>
    <font/>
    <font>
      <b/>
      <sz val="18.0"/>
      <color theme="1"/>
      <name val="Times New Roman"/>
    </font>
    <font>
      <sz val="12.0"/>
      <color theme="1"/>
      <name val="Times New Roman"/>
    </font>
    <font>
      <sz val="12.0"/>
      <color rgb="FF000000"/>
      <name val="Times New Roman"/>
    </font>
    <font>
      <b/>
      <sz val="10.0"/>
      <color theme="1"/>
      <name val="Times New Roman"/>
    </font>
    <font>
      <b/>
      <sz val="14.0"/>
      <color theme="1"/>
      <name val="Times New Roman"/>
    </font>
    <font>
      <b/>
      <sz val="12.0"/>
      <color theme="1"/>
      <name val="Arial"/>
    </font>
    <font>
      <color theme="1"/>
      <name val="Times New Roman"/>
    </font>
    <font>
      <color theme="1"/>
      <name val="Arial"/>
      <scheme val="minor"/>
    </font>
    <font>
      <sz val="20.0"/>
      <color theme="1"/>
      <name val="Times New Roman"/>
    </font>
    <font>
      <b/>
      <sz val="10.0"/>
      <color rgb="FF000000"/>
      <name val="Arial"/>
    </font>
    <font>
      <color theme="1"/>
      <name val="Arial"/>
    </font>
    <font>
      <b/>
      <sz val="12.0"/>
      <color theme="1"/>
      <name val="&quot;Times New Roman&quot;"/>
    </font>
    <font>
      <i/>
      <sz val="10.0"/>
      <color theme="1"/>
      <name val="Arial"/>
    </font>
    <font>
      <sz val="10.0"/>
      <color theme="1"/>
      <name val="Arial"/>
    </font>
    <font>
      <b/>
      <sz val="10.0"/>
      <color theme="1"/>
      <name val="Arial"/>
    </font>
    <font>
      <sz val="12.0"/>
      <color theme="1"/>
      <name val="Arial"/>
    </font>
    <font>
      <sz val="12.0"/>
      <color theme="1"/>
      <name val="&quot;Times New Roman&quot;"/>
    </font>
    <font>
      <sz val="10.0"/>
      <color rgb="FF000000"/>
      <name val="Arial"/>
    </font>
    <font>
      <sz val="12.0"/>
      <color theme="1"/>
      <name val="Arial"/>
      <scheme val="minor"/>
    </font>
    <font>
      <u/>
      <sz val="12.0"/>
      <color rgb="FF0000FF"/>
      <name val="Times New Roman"/>
    </font>
    <font>
      <u/>
      <sz val="10.0"/>
      <color rgb="FF0000FF"/>
      <name val="Arial"/>
    </font>
    <font>
      <b/>
      <i/>
      <sz val="12.0"/>
      <color theme="1"/>
      <name val="Times New Roman"/>
    </font>
    <font>
      <u/>
      <sz val="10.0"/>
      <color rgb="FF0000FF"/>
      <name val="Arial"/>
    </font>
    <font>
      <u/>
      <sz val="10.0"/>
      <color rgb="FFFF0000"/>
      <name val="Arial"/>
    </font>
    <font>
      <sz val="10.0"/>
      <color rgb="FFFF0000"/>
      <name val="Arial"/>
    </font>
    <font>
      <u/>
      <sz val="10.0"/>
      <color rgb="FF0000FF"/>
      <name val="Arial"/>
    </font>
    <font>
      <color rgb="FF202124"/>
      <name val="Arial"/>
    </font>
  </fonts>
  <fills count="4">
    <fill>
      <patternFill patternType="none"/>
    </fill>
    <fill>
      <patternFill patternType="lightGray"/>
    </fill>
    <fill>
      <patternFill patternType="solid">
        <fgColor rgb="FFD9D2E9"/>
        <bgColor rgb="FFD9D2E9"/>
      </patternFill>
    </fill>
    <fill>
      <patternFill patternType="solid">
        <fgColor rgb="FFFFFFFF"/>
        <bgColor rgb="FFFFFFFF"/>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style="thin">
        <color rgb="FF000000"/>
      </left>
      <right style="thin">
        <color rgb="FF000000"/>
      </right>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1" fillId="0" fontId="4" numFmtId="0" xfId="0" applyAlignment="1" applyBorder="1" applyFont="1">
      <alignment readingOrder="0"/>
    </xf>
    <xf borderId="4" fillId="0" fontId="2" numFmtId="0" xfId="0" applyBorder="1" applyFont="1"/>
    <xf borderId="5" fillId="0" fontId="2" numFmtId="0" xfId="0" applyBorder="1" applyFont="1"/>
    <xf borderId="4" fillId="0" fontId="5" numFmtId="0" xfId="0" applyAlignment="1" applyBorder="1" applyFont="1">
      <alignment readingOrder="0" vertical="center"/>
    </xf>
    <xf borderId="4" fillId="0" fontId="4" numFmtId="0" xfId="0" applyAlignment="1" applyBorder="1" applyFont="1">
      <alignment readingOrder="0"/>
    </xf>
    <xf borderId="6" fillId="0" fontId="2" numFmtId="0" xfId="0" applyBorder="1" applyFont="1"/>
    <xf borderId="7" fillId="0" fontId="2" numFmtId="0" xfId="0" applyBorder="1" applyFont="1"/>
    <xf borderId="8" fillId="0" fontId="2" numFmtId="0" xfId="0" applyBorder="1" applyFont="1"/>
    <xf borderId="6" fillId="0" fontId="4" numFmtId="0" xfId="0" applyAlignment="1" applyBorder="1" applyFont="1">
      <alignment readingOrder="0" shrinkToFit="0" wrapText="0"/>
    </xf>
    <xf borderId="6" fillId="0" fontId="5" numFmtId="0" xfId="0" applyAlignment="1" applyBorder="1" applyFont="1">
      <alignment readingOrder="0" shrinkToFit="0" vertical="center" wrapText="0"/>
    </xf>
    <xf borderId="9" fillId="0" fontId="6" numFmtId="0" xfId="0" applyAlignment="1" applyBorder="1" applyFont="1">
      <alignment readingOrder="0" vertical="center"/>
    </xf>
    <xf borderId="10" fillId="0" fontId="2" numFmtId="0" xfId="0" applyBorder="1" applyFont="1"/>
    <xf borderId="11" fillId="0" fontId="2" numFmtId="0" xfId="0" applyBorder="1" applyFont="1"/>
    <xf borderId="6" fillId="0" fontId="6" numFmtId="0" xfId="0" applyAlignment="1" applyBorder="1" applyFont="1">
      <alignment horizontal="right" readingOrder="0" shrinkToFit="0" vertical="center" wrapText="1"/>
    </xf>
    <xf borderId="12" fillId="0" fontId="7" numFmtId="0" xfId="0" applyAlignment="1" applyBorder="1" applyFont="1">
      <alignment horizontal="center" readingOrder="0" shrinkToFit="0" vertical="center" wrapText="1"/>
    </xf>
    <xf borderId="13" fillId="0" fontId="2" numFmtId="0" xfId="0" applyBorder="1" applyFont="1"/>
    <xf borderId="12" fillId="0" fontId="8" numFmtId="0" xfId="0" applyAlignment="1" applyBorder="1" applyFont="1">
      <alignment horizontal="center" readingOrder="0" shrinkToFit="0" vertical="center" wrapText="1"/>
    </xf>
    <xf borderId="0" fillId="0" fontId="9" numFmtId="0" xfId="0" applyFont="1"/>
    <xf borderId="0" fillId="0" fontId="10" numFmtId="0" xfId="0" applyAlignment="1" applyFont="1">
      <alignment readingOrder="0"/>
    </xf>
    <xf borderId="0" fillId="0" fontId="11" numFmtId="0" xfId="0" applyAlignment="1" applyFont="1">
      <alignment readingOrder="0"/>
    </xf>
    <xf borderId="14" fillId="2" fontId="12" numFmtId="0" xfId="0" applyAlignment="1" applyBorder="1" applyFill="1" applyFont="1">
      <alignment horizontal="center" readingOrder="0" shrinkToFit="0" vertical="center" wrapText="1"/>
    </xf>
    <xf borderId="0" fillId="0" fontId="9" numFmtId="0" xfId="0" applyAlignment="1" applyFont="1">
      <alignment shrinkToFit="0" wrapText="1"/>
    </xf>
    <xf borderId="12" fillId="0" fontId="13" numFmtId="0" xfId="0" applyBorder="1" applyFont="1"/>
    <xf borderId="9" fillId="2" fontId="12" numFmtId="0" xfId="0" applyAlignment="1" applyBorder="1" applyFill="1" applyFont="1">
      <alignment horizontal="center" readingOrder="0" shrinkToFit="0" vertical="center" wrapText="1"/>
    </xf>
    <xf borderId="0" fillId="0" fontId="14" numFmtId="49" xfId="0" applyAlignment="1" applyFont="1" applyNumberFormat="1">
      <alignment horizontal="center" shrinkToFit="0" vertical="bottom" wrapText="1"/>
    </xf>
    <xf borderId="0" fillId="0" fontId="15" numFmtId="0" xfId="0" applyAlignment="1" applyFont="1">
      <alignment readingOrder="0"/>
    </xf>
    <xf borderId="0" fillId="0" fontId="16" numFmtId="0" xfId="0" applyAlignment="1" applyFont="1">
      <alignment readingOrder="0"/>
    </xf>
    <xf borderId="0" fillId="0" fontId="14" numFmtId="49" xfId="0" applyAlignment="1" applyFont="1" applyNumberFormat="1">
      <alignment readingOrder="0" shrinkToFit="0" vertical="bottom" wrapText="1"/>
    </xf>
    <xf borderId="14" fillId="2" fontId="17" numFmtId="0" xfId="0" applyAlignment="1" applyBorder="1" applyFill="1" applyFont="1">
      <alignment horizontal="center" readingOrder="0"/>
    </xf>
    <xf borderId="0" fillId="0" fontId="16" numFmtId="0" xfId="0" applyFont="1"/>
    <xf borderId="14" fillId="0" fontId="16" numFmtId="0" xfId="0" applyAlignment="1" applyBorder="1" applyFont="1">
      <alignment horizontal="center" readingOrder="0" shrinkToFit="0" vertical="center" wrapText="1"/>
    </xf>
    <xf borderId="0" fillId="0" fontId="16" numFmtId="0" xfId="0" applyAlignment="1" applyFont="1">
      <alignment shrinkToFit="0" wrapText="1"/>
    </xf>
    <xf borderId="0" fillId="0" fontId="18" numFmtId="49" xfId="0" applyAlignment="1" applyFont="1" applyNumberFormat="1">
      <alignment vertical="bottom"/>
    </xf>
    <xf borderId="9" fillId="0" fontId="16" numFmtId="0" xfId="0" applyAlignment="1" applyBorder="1" applyFont="1">
      <alignment horizontal="left" readingOrder="0" shrinkToFit="0" vertical="center" wrapText="1"/>
    </xf>
    <xf borderId="0" fillId="0" fontId="18" numFmtId="49" xfId="0" applyFont="1" applyNumberFormat="1"/>
    <xf borderId="14" fillId="2" fontId="12" numFmtId="0" xfId="0" applyAlignment="1" applyBorder="1" applyFill="1" applyFont="1">
      <alignment horizontal="center" shrinkToFit="0" vertical="center" wrapText="1"/>
    </xf>
    <xf borderId="13" fillId="0" fontId="18" numFmtId="49" xfId="0" applyBorder="1" applyFont="1" applyNumberFormat="1"/>
    <xf borderId="9" fillId="0" fontId="16" numFmtId="164" xfId="0" applyAlignment="1" applyBorder="1" applyFont="1" applyNumberFormat="1">
      <alignment horizontal="left" readingOrder="0" shrinkToFit="0" vertical="center" wrapText="1"/>
    </xf>
    <xf borderId="14" fillId="0" fontId="16" numFmtId="0" xfId="0" applyAlignment="1" applyBorder="1" applyFont="1">
      <alignment readingOrder="0"/>
    </xf>
    <xf borderId="13" fillId="3" fontId="18" numFmtId="49" xfId="0" applyBorder="1" applyFill="1" applyFont="1" applyNumberFormat="1"/>
    <xf borderId="14" fillId="2" fontId="12" numFmtId="0" xfId="0" applyAlignment="1" applyBorder="1" applyFill="1" applyFont="1">
      <alignment horizontal="center" readingOrder="0" vertical="center"/>
    </xf>
    <xf borderId="9" fillId="0" fontId="16" numFmtId="49" xfId="0" applyAlignment="1" applyBorder="1" applyFont="1" applyNumberFormat="1">
      <alignment horizontal="left" readingOrder="0" shrinkToFit="0" vertical="center" wrapText="1"/>
    </xf>
    <xf borderId="15" fillId="0" fontId="19" numFmtId="49" xfId="0" applyAlignment="1" applyBorder="1" applyFont="1" applyNumberFormat="1">
      <alignment readingOrder="0" shrinkToFit="0" wrapText="1"/>
    </xf>
    <xf borderId="14" fillId="0" fontId="16" numFmtId="0" xfId="0" applyAlignment="1" applyBorder="1" applyFont="1">
      <alignment horizontal="center" readingOrder="0" vertical="top"/>
    </xf>
    <xf borderId="15" fillId="0" fontId="2" numFmtId="0" xfId="0" applyBorder="1" applyFont="1"/>
    <xf quotePrefix="1" borderId="14" fillId="0" fontId="16" numFmtId="0" xfId="0" applyAlignment="1" applyBorder="1" applyFont="1">
      <alignment horizontal="center" readingOrder="0" shrinkToFit="0" vertical="center" wrapText="1"/>
    </xf>
    <xf borderId="16" fillId="0" fontId="2" numFmtId="0" xfId="0" applyBorder="1" applyFont="1"/>
    <xf borderId="0" fillId="0" fontId="14" numFmtId="49" xfId="0" applyAlignment="1" applyFont="1" applyNumberFormat="1">
      <alignment horizontal="center" shrinkToFit="0" wrapText="1"/>
    </xf>
    <xf borderId="0" fillId="0" fontId="14" numFmtId="49" xfId="0" applyAlignment="1" applyFont="1" applyNumberFormat="1">
      <alignment readingOrder="0" shrinkToFit="0" wrapText="1"/>
    </xf>
    <xf borderId="13" fillId="3" fontId="19" numFmtId="49" xfId="0" applyAlignment="1" applyBorder="1" applyFill="1" applyFont="1" applyNumberFormat="1">
      <alignment horizontal="center"/>
    </xf>
    <xf borderId="14" fillId="0" fontId="16" numFmtId="0" xfId="0" applyAlignment="1" applyBorder="1" applyFont="1">
      <alignment horizontal="left" readingOrder="0" shrinkToFit="0" vertical="top" wrapText="1"/>
    </xf>
    <xf borderId="10" fillId="0" fontId="20" numFmtId="0" xfId="0" applyAlignment="1" applyBorder="1" applyFont="1">
      <alignment horizontal="left" readingOrder="0" shrinkToFit="0" vertical="center" wrapText="1"/>
    </xf>
    <xf borderId="9" fillId="0" fontId="20" numFmtId="0" xfId="0" applyAlignment="1" applyBorder="1" applyFont="1">
      <alignment horizontal="left" readingOrder="0" shrinkToFit="0" vertical="center" wrapText="1"/>
    </xf>
    <xf borderId="0" fillId="0" fontId="14" numFmtId="49" xfId="0" applyAlignment="1" applyFont="1" applyNumberFormat="1">
      <alignment horizontal="center" readingOrder="0" shrinkToFit="0" wrapText="1"/>
    </xf>
    <xf borderId="9" fillId="0" fontId="16" numFmtId="165" xfId="0" applyAlignment="1" applyBorder="1" applyFont="1" applyNumberFormat="1">
      <alignment horizontal="left" readingOrder="0" shrinkToFit="0" vertical="center" wrapText="1"/>
    </xf>
    <xf borderId="15" fillId="0" fontId="19" numFmtId="49" xfId="0" applyAlignment="1" applyBorder="1" applyFont="1" applyNumberFormat="1">
      <alignment shrinkToFit="0" wrapText="1"/>
    </xf>
    <xf borderId="14" fillId="0" fontId="16" numFmtId="166" xfId="0" applyAlignment="1" applyBorder="1" applyFont="1" applyNumberFormat="1">
      <alignment readingOrder="0"/>
    </xf>
    <xf borderId="16" fillId="0" fontId="19" numFmtId="49" xfId="0" applyAlignment="1" applyBorder="1" applyFont="1" applyNumberFormat="1">
      <alignment shrinkToFit="0" wrapText="1"/>
    </xf>
    <xf borderId="0" fillId="0" fontId="21" numFmtId="0" xfId="0" applyFont="1"/>
    <xf borderId="0" fillId="0" fontId="4" numFmtId="0" xfId="0" applyAlignment="1" applyFont="1">
      <alignment readingOrder="0"/>
    </xf>
    <xf borderId="14" fillId="0" fontId="16" numFmtId="0" xfId="0" applyAlignment="1" applyBorder="1" applyFont="1">
      <alignment vertical="top"/>
    </xf>
    <xf borderId="0" fillId="0" fontId="22" numFmtId="0" xfId="0" applyAlignment="1" applyFont="1">
      <alignment readingOrder="0"/>
    </xf>
    <xf borderId="0" fillId="0" fontId="4" numFmtId="0" xfId="0" applyFont="1"/>
    <xf borderId="14" fillId="0" fontId="23" numFmtId="0" xfId="0" applyAlignment="1" applyBorder="1" applyFont="1">
      <alignment readingOrder="0"/>
    </xf>
    <xf borderId="10" fillId="0" fontId="6" numFmtId="0" xfId="0" applyAlignment="1" applyBorder="1" applyFont="1">
      <alignment readingOrder="0" vertical="center"/>
    </xf>
    <xf borderId="0" fillId="0" fontId="9" numFmtId="0" xfId="0" applyAlignment="1" applyFont="1">
      <alignment vertical="top"/>
    </xf>
    <xf borderId="0" fillId="0" fontId="16" numFmtId="0" xfId="0" applyAlignment="1" applyFont="1">
      <alignment vertical="top"/>
    </xf>
    <xf borderId="11" fillId="2" fontId="12" numFmtId="0" xfId="0" applyAlignment="1" applyBorder="1" applyFill="1" applyFont="1">
      <alignment horizontal="center" readingOrder="0" shrinkToFit="0" vertical="center" wrapText="1"/>
    </xf>
    <xf borderId="14" fillId="0" fontId="16" numFmtId="0" xfId="0" applyAlignment="1" applyBorder="1" applyFont="1">
      <alignment readingOrder="0" shrinkToFit="0" vertical="top" wrapText="1"/>
    </xf>
    <xf borderId="14" fillId="2" fontId="12" numFmtId="0" xfId="0" applyAlignment="1" applyBorder="1" applyFill="1" applyFont="1">
      <alignment horizontal="center" readingOrder="0" vertical="top"/>
    </xf>
    <xf borderId="17" fillId="0" fontId="16" numFmtId="0" xfId="0" applyAlignment="1" applyBorder="1" applyFont="1">
      <alignment horizontal="center" readingOrder="0" vertical="top"/>
    </xf>
    <xf borderId="17" fillId="0" fontId="16" numFmtId="0" xfId="0" applyAlignment="1" applyBorder="1" applyFont="1">
      <alignment readingOrder="0" shrinkToFit="0" vertical="top" wrapText="1"/>
    </xf>
    <xf borderId="0" fillId="0" fontId="21" numFmtId="0" xfId="0" applyAlignment="1" applyFont="1">
      <alignment readingOrder="0"/>
    </xf>
    <xf borderId="0" fillId="0" fontId="24" numFmtId="0" xfId="0" applyAlignment="1" applyFont="1">
      <alignment readingOrder="0"/>
    </xf>
    <xf borderId="14" fillId="0" fontId="16" numFmtId="0" xfId="0" applyAlignment="1" applyBorder="1" applyFont="1">
      <alignment horizontal="center" readingOrder="0" shrinkToFit="0" vertical="top" wrapText="1"/>
    </xf>
    <xf borderId="17" fillId="0" fontId="25" numFmtId="0" xfId="0" applyAlignment="1" applyBorder="1" applyFont="1">
      <alignment readingOrder="0" shrinkToFit="0" vertical="top" wrapText="1"/>
    </xf>
    <xf borderId="14" fillId="0" fontId="16" numFmtId="0" xfId="0" applyAlignment="1" applyBorder="1" applyFont="1">
      <alignment readingOrder="0"/>
    </xf>
    <xf borderId="17" fillId="0" fontId="16" numFmtId="0" xfId="0" applyAlignment="1" applyBorder="1" applyFont="1">
      <alignment shrinkToFit="0" vertical="bottom" wrapText="1"/>
    </xf>
    <xf borderId="14" fillId="0" fontId="16" numFmtId="0" xfId="0" applyAlignment="1" applyBorder="1" applyFont="1">
      <alignment shrinkToFit="0" vertical="bottom" wrapText="1"/>
    </xf>
    <xf borderId="0" fillId="0" fontId="4"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readingOrder="0" shrinkToFit="0" vertical="center" wrapText="0"/>
    </xf>
    <xf borderId="14" fillId="0" fontId="16" numFmtId="0" xfId="0" applyAlignment="1" applyBorder="1" applyFont="1">
      <alignment readingOrder="0" shrinkToFit="0" vertical="bottom" wrapText="1"/>
    </xf>
    <xf borderId="0" fillId="0" fontId="6" numFmtId="0" xfId="0" applyAlignment="1" applyFont="1">
      <alignment readingOrder="0" vertical="center"/>
    </xf>
    <xf borderId="14" fillId="0" fontId="16" numFmtId="0" xfId="0" applyAlignment="1" applyBorder="1" applyFont="1">
      <alignment horizontal="center" readingOrder="0" vertical="bottom"/>
    </xf>
    <xf borderId="0" fillId="0" fontId="9" numFmtId="0" xfId="0" applyAlignment="1" applyFont="1">
      <alignment vertical="center"/>
    </xf>
    <xf borderId="0" fillId="0" fontId="11" numFmtId="0" xfId="0" applyAlignment="1" applyFont="1">
      <alignment readingOrder="0" vertical="center"/>
    </xf>
    <xf borderId="0" fillId="0" fontId="9" numFmtId="0" xfId="0" applyAlignment="1" applyFont="1">
      <alignment shrinkToFit="0" vertical="center" wrapText="1"/>
    </xf>
    <xf borderId="0" fillId="0" fontId="15" numFmtId="0" xfId="0" applyAlignment="1" applyFont="1">
      <alignment readingOrder="0" vertical="center"/>
    </xf>
    <xf borderId="0" fillId="0" fontId="16" numFmtId="0" xfId="0" applyAlignment="1" applyFont="1">
      <alignment readingOrder="0" vertical="center"/>
    </xf>
    <xf borderId="0" fillId="0" fontId="16" numFmtId="0" xfId="0" applyAlignment="1" applyFont="1">
      <alignment vertical="center"/>
    </xf>
    <xf borderId="0" fillId="0" fontId="16" numFmtId="0" xfId="0" applyAlignment="1" applyFont="1">
      <alignment shrinkToFit="0" vertical="center" wrapText="1"/>
    </xf>
    <xf borderId="14" fillId="0" fontId="16" numFmtId="0" xfId="0" applyAlignment="1" applyBorder="1" applyFont="1">
      <alignment horizontal="center" vertical="center"/>
    </xf>
    <xf borderId="14" fillId="0" fontId="16" numFmtId="0" xfId="0" applyAlignment="1" applyBorder="1" applyFont="1">
      <alignment readingOrder="0" shrinkToFit="0" vertical="center" wrapText="1"/>
    </xf>
    <xf borderId="14" fillId="0" fontId="16" numFmtId="0" xfId="0" applyAlignment="1" applyBorder="1" applyFont="1">
      <alignment readingOrder="0" vertical="top"/>
    </xf>
    <xf borderId="14" fillId="0" fontId="16" numFmtId="0" xfId="0" applyAlignment="1" applyBorder="1" applyFont="1">
      <alignment vertical="bottom"/>
    </xf>
    <xf borderId="14" fillId="0" fontId="16" numFmtId="0" xfId="0" applyAlignment="1" applyBorder="1" applyFont="1">
      <alignment horizontal="left" readingOrder="0" shrinkToFit="0" vertical="center" wrapText="1"/>
    </xf>
    <xf borderId="14" fillId="0" fontId="16" numFmtId="0" xfId="0" applyAlignment="1" applyBorder="1" applyFont="1">
      <alignment vertical="center"/>
    </xf>
    <xf borderId="14" fillId="0" fontId="16" numFmtId="0" xfId="0" applyAlignment="1" applyBorder="1" applyFont="1">
      <alignment readingOrder="0" vertical="center"/>
    </xf>
    <xf borderId="14" fillId="0" fontId="16" numFmtId="0" xfId="0" applyAlignment="1" applyBorder="1" applyFont="1">
      <alignment horizontal="center" vertical="top"/>
    </xf>
    <xf borderId="14" fillId="0" fontId="20" numFmtId="0" xfId="0" applyAlignment="1" applyBorder="1" applyFont="1">
      <alignment horizontal="right" readingOrder="0" shrinkToFit="0" vertical="center" wrapText="1"/>
    </xf>
    <xf borderId="14" fillId="0" fontId="26" numFmtId="0" xfId="0" applyAlignment="1" applyBorder="1" applyFont="1">
      <alignment readingOrder="0" shrinkToFit="0" vertical="center" wrapText="1"/>
    </xf>
    <xf borderId="14" fillId="0" fontId="27" numFmtId="0" xfId="0" applyAlignment="1" applyBorder="1" applyFont="1">
      <alignment readingOrder="0" shrinkToFit="0" vertical="center" wrapText="1"/>
    </xf>
    <xf borderId="14" fillId="0" fontId="20" numFmtId="0" xfId="0" applyAlignment="1" applyBorder="1" applyFont="1">
      <alignment shrinkToFit="0" vertical="center" wrapText="1"/>
    </xf>
    <xf borderId="14" fillId="0" fontId="27" numFmtId="0" xfId="0" applyAlignment="1" applyBorder="1" applyFont="1">
      <alignment horizontal="right" readingOrder="0" shrinkToFit="0" vertical="center" wrapText="1"/>
    </xf>
    <xf borderId="14" fillId="0" fontId="27" numFmtId="0" xfId="0" applyAlignment="1" applyBorder="1" applyFont="1">
      <alignment shrinkToFit="0" vertical="center" wrapText="1"/>
    </xf>
    <xf borderId="0" fillId="0" fontId="13" numFmtId="0" xfId="0" applyAlignment="1" applyFont="1">
      <alignment readingOrder="0" shrinkToFit="0" vertical="top" wrapText="1"/>
    </xf>
    <xf borderId="14" fillId="0" fontId="20" numFmtId="0" xfId="0" applyAlignment="1" applyBorder="1" applyFont="1">
      <alignment readingOrder="0" shrinkToFit="0" vertical="center" wrapText="1"/>
    </xf>
    <xf borderId="0" fillId="0" fontId="13" numFmtId="0" xfId="0" applyFont="1"/>
    <xf borderId="0" fillId="0" fontId="13" numFmtId="0" xfId="0" applyAlignment="1" applyFont="1">
      <alignment readingOrder="0"/>
    </xf>
    <xf borderId="14" fillId="0" fontId="28" numFmtId="0" xfId="0" applyAlignment="1" applyBorder="1" applyFont="1">
      <alignment readingOrder="0" shrinkToFit="0" vertical="center" wrapText="1"/>
    </xf>
    <xf borderId="0" fillId="3" fontId="29" numFmtId="0" xfId="0" applyAlignment="1" applyFill="1" applyFont="1">
      <alignment horizontal="left" readingOrder="0" shrinkToFit="0" wrapText="1"/>
    </xf>
    <xf quotePrefix="1" borderId="14" fillId="0" fontId="16" numFmtId="0" xfId="0" applyAlignment="1" applyBorder="1" applyFont="1">
      <alignment readingOrder="0"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95300" cy="285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1905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3850" cy="1809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1619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3850" cy="1809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3850" cy="1809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3850" cy="180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3850" cy="18097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3850" cy="1809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3850" cy="1809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e/1FAIpQLSdCgbOGaQ8zjt847cd8bX3qtWI41y2s70DvXzf1vSP0UeRzkw/viewfor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IlukqKO87kERmzm91yUHmFW8Ve4HlmGu/"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ZtACWfNxxLXnqKc_Zwh02MOsAP2-pZaojhjFIAeRXIk/edit?gid=120251775" TargetMode="External"/><Relationship Id="rId2" Type="http://schemas.openxmlformats.org/officeDocument/2006/relationships/hyperlink" Target="https://docs.google.com/spreadsheets/d/1AzTWfLHUJiPUpsIrQDsNH5kzh92nEMj1_qchPe--Fx8/edit?gid=337056376" TargetMode="External"/><Relationship Id="rId3" Type="http://schemas.openxmlformats.org/officeDocument/2006/relationships/hyperlink" Target="https://docs.google.com/spreadsheets/d/1AzTWfLHUJiPUpsIrQDsNH5kzh92nEMj1_qchPe--Fx8/edit?gid=337056376"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7.0"/>
    <col customWidth="1" min="2" max="2" width="4.63"/>
    <col customWidth="1" min="3" max="3" width="6.38"/>
    <col customWidth="1" min="4" max="4" width="3.5"/>
    <col customWidth="1" min="5" max="9" width="9.75"/>
    <col customWidth="1" min="10" max="10" width="13.75"/>
    <col customWidth="1" min="11" max="11" width="17.0"/>
  </cols>
  <sheetData>
    <row r="1" ht="22.5" customHeight="1">
      <c r="A1" s="1"/>
      <c r="B1" s="2"/>
      <c r="C1" s="2"/>
      <c r="D1" s="3"/>
      <c r="E1" s="4" t="s">
        <v>0</v>
      </c>
      <c r="F1" s="2"/>
      <c r="G1" s="2"/>
      <c r="H1" s="2"/>
      <c r="I1" s="2"/>
      <c r="J1" s="6" t="s">
        <v>2</v>
      </c>
      <c r="K1" s="3"/>
    </row>
    <row r="2" ht="22.5" customHeight="1">
      <c r="A2" s="7"/>
      <c r="D2" s="8"/>
      <c r="E2" s="7"/>
      <c r="J2" s="10" t="s">
        <v>3</v>
      </c>
      <c r="K2" s="8"/>
    </row>
    <row r="3" ht="22.5" customHeight="1">
      <c r="A3" s="11"/>
      <c r="B3" s="12"/>
      <c r="C3" s="12"/>
      <c r="D3" s="13"/>
      <c r="E3" s="7"/>
      <c r="J3" s="14" t="s">
        <v>4</v>
      </c>
      <c r="K3" s="13"/>
    </row>
    <row r="4" ht="22.5" customHeight="1">
      <c r="A4" s="16" t="s">
        <v>5</v>
      </c>
      <c r="B4" s="17"/>
      <c r="C4" s="17"/>
      <c r="D4" s="17"/>
      <c r="E4" s="17"/>
      <c r="F4" s="17"/>
      <c r="G4" s="17"/>
      <c r="H4" s="17"/>
      <c r="I4" s="18"/>
      <c r="J4" s="19" t="s">
        <v>6</v>
      </c>
      <c r="K4" s="13"/>
    </row>
    <row r="5" ht="16.5" customHeight="1">
      <c r="A5" s="20"/>
      <c r="K5" s="21"/>
    </row>
    <row r="6" ht="31.5" customHeight="1">
      <c r="A6" s="22" t="s">
        <v>7</v>
      </c>
      <c r="K6" s="21"/>
    </row>
    <row r="7" ht="20.25" customHeight="1">
      <c r="A7" s="26" t="s">
        <v>8</v>
      </c>
      <c r="B7" s="29" t="s">
        <v>9</v>
      </c>
      <c r="C7" s="17"/>
      <c r="D7" s="18"/>
      <c r="E7" s="29" t="s">
        <v>10</v>
      </c>
      <c r="F7" s="17"/>
      <c r="G7" s="17"/>
      <c r="H7" s="17"/>
      <c r="I7" s="18"/>
      <c r="J7" s="29" t="s">
        <v>13</v>
      </c>
      <c r="K7" s="18"/>
    </row>
    <row r="8">
      <c r="A8" s="36">
        <v>1.0</v>
      </c>
      <c r="B8" s="39" t="s">
        <v>16</v>
      </c>
      <c r="C8" s="17"/>
      <c r="D8" s="18"/>
      <c r="E8" s="39"/>
      <c r="F8" s="17"/>
      <c r="G8" s="17"/>
      <c r="H8" s="17"/>
      <c r="I8" s="18"/>
      <c r="J8" s="43"/>
      <c r="K8" s="18"/>
    </row>
    <row r="9">
      <c r="A9" s="36">
        <v>1.1</v>
      </c>
      <c r="B9" s="39" t="s">
        <v>24</v>
      </c>
      <c r="C9" s="17"/>
      <c r="D9" s="18"/>
      <c r="E9" s="39" t="s">
        <v>27</v>
      </c>
      <c r="F9" s="17"/>
      <c r="G9" s="17"/>
      <c r="H9" s="17"/>
      <c r="I9" s="18"/>
      <c r="J9" s="47" t="s">
        <v>31</v>
      </c>
      <c r="K9" s="18"/>
    </row>
    <row r="10">
      <c r="A10" s="36">
        <v>1.2</v>
      </c>
      <c r="B10" s="39" t="s">
        <v>35</v>
      </c>
      <c r="C10" s="17"/>
      <c r="D10" s="18"/>
      <c r="E10" s="39" t="s">
        <v>36</v>
      </c>
      <c r="F10" s="17"/>
      <c r="G10" s="17"/>
      <c r="H10" s="17"/>
      <c r="I10" s="18"/>
      <c r="J10" s="39" t="s">
        <v>37</v>
      </c>
      <c r="K10" s="18"/>
    </row>
    <row r="11">
      <c r="A11" s="51" t="s">
        <v>38</v>
      </c>
      <c r="B11" s="39" t="s">
        <v>39</v>
      </c>
      <c r="C11" s="17"/>
      <c r="D11" s="18"/>
      <c r="E11" s="39" t="s">
        <v>40</v>
      </c>
      <c r="F11" s="17"/>
      <c r="G11" s="17"/>
      <c r="H11" s="17"/>
      <c r="I11" s="18"/>
      <c r="J11" s="39" t="s">
        <v>42</v>
      </c>
      <c r="K11" s="18"/>
    </row>
    <row r="12">
      <c r="A12" s="36"/>
      <c r="B12" s="39"/>
      <c r="C12" s="17"/>
      <c r="D12" s="18"/>
      <c r="E12" s="39"/>
      <c r="F12" s="17"/>
      <c r="G12" s="17"/>
      <c r="H12" s="17"/>
      <c r="I12" s="18"/>
      <c r="J12" s="43"/>
      <c r="K12" s="18"/>
    </row>
    <row r="13" ht="22.5" customHeight="1">
      <c r="A13" s="36"/>
      <c r="B13" s="57"/>
      <c r="C13" s="17"/>
      <c r="D13" s="18"/>
      <c r="E13" s="58"/>
      <c r="F13" s="17"/>
      <c r="G13" s="17"/>
      <c r="H13" s="17"/>
      <c r="I13" s="18"/>
      <c r="J13" s="60"/>
      <c r="K13" s="18"/>
    </row>
  </sheetData>
  <mergeCells count="30">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11" max="11" width="19.0"/>
  </cols>
  <sheetData>
    <row r="1">
      <c r="A1" s="1"/>
      <c r="B1" s="2"/>
      <c r="C1" s="2"/>
      <c r="D1" s="4" t="s">
        <v>0</v>
      </c>
      <c r="E1" s="2"/>
      <c r="F1" s="2"/>
      <c r="G1" s="2"/>
      <c r="H1" s="2"/>
      <c r="I1" s="2"/>
      <c r="J1" s="6" t="s">
        <v>2</v>
      </c>
      <c r="K1" s="3"/>
    </row>
    <row r="2">
      <c r="A2" s="7"/>
      <c r="D2" s="7"/>
      <c r="J2" s="10" t="s">
        <v>3</v>
      </c>
      <c r="K2" s="8"/>
    </row>
    <row r="3">
      <c r="A3" s="11"/>
      <c r="B3" s="12"/>
      <c r="C3" s="12"/>
      <c r="D3" s="7"/>
      <c r="J3" s="14" t="s">
        <v>4</v>
      </c>
      <c r="K3" s="13"/>
    </row>
    <row r="4">
      <c r="A4" s="16" t="s">
        <v>5</v>
      </c>
      <c r="B4" s="17"/>
      <c r="C4" s="17"/>
      <c r="D4" s="17"/>
      <c r="E4" s="17"/>
      <c r="F4" s="17"/>
      <c r="G4" s="17"/>
      <c r="H4" s="17"/>
      <c r="I4" s="18"/>
      <c r="J4" s="19" t="s">
        <v>6</v>
      </c>
      <c r="K4" s="13"/>
    </row>
    <row r="5">
      <c r="A5" s="28"/>
      <c r="K5" s="21"/>
    </row>
    <row r="6">
      <c r="A6" s="30" t="s">
        <v>11</v>
      </c>
      <c r="B6" s="33" t="s">
        <v>15</v>
      </c>
      <c r="F6" s="38"/>
      <c r="G6" s="38"/>
      <c r="H6" s="38"/>
      <c r="I6" s="38"/>
      <c r="J6" s="40"/>
      <c r="K6" s="42"/>
    </row>
    <row r="7">
      <c r="A7" s="45"/>
      <c r="B7" s="48" t="s">
        <v>30</v>
      </c>
      <c r="C7" s="50"/>
      <c r="D7" s="50"/>
      <c r="E7" s="50"/>
      <c r="F7" s="50"/>
      <c r="G7" s="50"/>
      <c r="H7" s="50"/>
      <c r="I7" s="50"/>
      <c r="J7" s="50"/>
      <c r="K7" s="52"/>
    </row>
    <row r="8">
      <c r="A8" s="53" t="s">
        <v>41</v>
      </c>
      <c r="B8" s="54" t="s">
        <v>43</v>
      </c>
      <c r="F8" s="40"/>
      <c r="G8" s="40"/>
      <c r="H8" s="40"/>
      <c r="I8" s="40"/>
      <c r="J8" s="40"/>
      <c r="K8" s="42"/>
    </row>
    <row r="9" ht="16.5" customHeight="1">
      <c r="A9" s="55"/>
      <c r="B9" s="48" t="s">
        <v>44</v>
      </c>
      <c r="C9" s="50"/>
      <c r="D9" s="50"/>
      <c r="E9" s="50"/>
      <c r="F9" s="50"/>
      <c r="G9" s="50"/>
      <c r="H9" s="50"/>
      <c r="I9" s="50"/>
      <c r="J9" s="50"/>
      <c r="K9" s="52"/>
    </row>
    <row r="10" ht="20.25" customHeight="1">
      <c r="A10" s="59" t="s">
        <v>46</v>
      </c>
      <c r="B10" s="54" t="s">
        <v>48</v>
      </c>
      <c r="F10" s="61"/>
      <c r="G10" s="61"/>
      <c r="H10" s="61"/>
      <c r="I10" s="61"/>
      <c r="J10" s="61"/>
      <c r="K10" s="63"/>
    </row>
    <row r="11">
      <c r="A11" s="64"/>
      <c r="B11" s="65" t="s">
        <v>51</v>
      </c>
      <c r="C11" s="67" t="s">
        <v>52</v>
      </c>
      <c r="D11" s="65"/>
      <c r="E11" s="68"/>
      <c r="F11" s="68"/>
      <c r="G11" s="68"/>
      <c r="H11" s="68"/>
      <c r="I11" s="68"/>
      <c r="J11" s="64"/>
      <c r="K11" s="64"/>
    </row>
    <row r="12">
      <c r="A12" s="64"/>
      <c r="B12" s="65" t="s">
        <v>55</v>
      </c>
      <c r="C12" s="67" t="s">
        <v>56</v>
      </c>
      <c r="D12" s="68"/>
      <c r="E12" s="68"/>
      <c r="F12" s="68"/>
      <c r="G12" s="68"/>
      <c r="H12" s="68"/>
      <c r="I12" s="68"/>
      <c r="J12" s="64"/>
      <c r="K12" s="64"/>
    </row>
    <row r="13">
      <c r="A13" s="64"/>
      <c r="B13" s="65" t="s">
        <v>74</v>
      </c>
      <c r="C13" s="67" t="s">
        <v>78</v>
      </c>
      <c r="D13" s="68"/>
      <c r="E13" s="68"/>
      <c r="F13" s="68"/>
      <c r="G13" s="68"/>
      <c r="H13" s="68"/>
      <c r="I13" s="68"/>
      <c r="J13" s="64"/>
      <c r="K13" s="64"/>
    </row>
    <row r="14">
      <c r="A14" s="64"/>
      <c r="B14" s="64"/>
      <c r="C14" s="64"/>
      <c r="D14" s="64"/>
      <c r="E14" s="64"/>
      <c r="F14" s="64"/>
      <c r="G14" s="64"/>
      <c r="H14" s="64"/>
      <c r="I14" s="64"/>
      <c r="J14" s="64"/>
      <c r="K14" s="64"/>
    </row>
    <row r="15">
      <c r="A15" s="78"/>
      <c r="B15" s="79" t="s">
        <v>83</v>
      </c>
      <c r="C15" s="64"/>
      <c r="D15" s="64"/>
      <c r="E15" s="64"/>
      <c r="F15" s="64"/>
      <c r="G15" s="64"/>
      <c r="H15" s="64"/>
      <c r="I15" s="64"/>
      <c r="J15" s="64"/>
      <c r="K15" s="64"/>
    </row>
    <row r="16">
      <c r="A16" s="78"/>
      <c r="B16" s="64"/>
      <c r="C16" s="64"/>
      <c r="D16" s="64"/>
      <c r="E16" s="64"/>
      <c r="F16" s="64"/>
      <c r="G16" s="64"/>
      <c r="H16" s="64"/>
      <c r="I16" s="64"/>
      <c r="J16" s="64"/>
      <c r="K16" s="64"/>
    </row>
  </sheetData>
  <mergeCells count="13">
    <mergeCell ref="A5:K5"/>
    <mergeCell ref="B6:E6"/>
    <mergeCell ref="B7:K7"/>
    <mergeCell ref="B8:E8"/>
    <mergeCell ref="B9:K9"/>
    <mergeCell ref="B10:E10"/>
    <mergeCell ref="A1:C3"/>
    <mergeCell ref="D1:I3"/>
    <mergeCell ref="J1:K1"/>
    <mergeCell ref="J2:K2"/>
    <mergeCell ref="J3:K3"/>
    <mergeCell ref="A4:I4"/>
    <mergeCell ref="J4:K4"/>
  </mergeCells>
  <hyperlinks>
    <hyperlink display="List the agreed rule content on the sheet Rules of project" location="null!A1" ref="C11"/>
    <hyperlink r:id="rId1" ref="C12"/>
    <hyperlink display="Create Form responses in separate sheets in this file and attach links to the Confirm information column (column G) in sheet Rules of project" location="null!F7:F16" ref="C1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25.63"/>
    <col customWidth="1" min="3" max="3" width="13.0"/>
    <col customWidth="1" min="4" max="4" width="36.25"/>
    <col customWidth="1" min="5" max="5" width="25.38"/>
    <col customWidth="1" min="6" max="6" width="44.5"/>
    <col customWidth="1" min="7" max="7" width="8.63"/>
  </cols>
  <sheetData>
    <row r="1">
      <c r="A1" s="1"/>
      <c r="B1" s="2"/>
      <c r="C1" s="4" t="s">
        <v>0</v>
      </c>
      <c r="D1" s="2"/>
      <c r="E1" s="2"/>
      <c r="F1" s="5" t="s">
        <v>2</v>
      </c>
      <c r="G1" s="3"/>
    </row>
    <row r="2">
      <c r="A2" s="7"/>
      <c r="C2" s="7"/>
      <c r="F2" s="9" t="s">
        <v>3</v>
      </c>
      <c r="G2" s="8"/>
    </row>
    <row r="3">
      <c r="A3" s="11"/>
      <c r="B3" s="12"/>
      <c r="C3" s="7"/>
      <c r="F3" s="15" t="s">
        <v>4</v>
      </c>
      <c r="G3" s="13"/>
    </row>
    <row r="4">
      <c r="A4" s="16" t="s">
        <v>5</v>
      </c>
      <c r="B4" s="17"/>
      <c r="C4" s="17"/>
      <c r="D4" s="17"/>
      <c r="E4" s="17"/>
      <c r="F4" s="16" t="s">
        <v>6</v>
      </c>
      <c r="G4" s="18"/>
    </row>
    <row r="5">
      <c r="A5" s="24"/>
      <c r="B5" s="24"/>
      <c r="C5" s="24"/>
      <c r="D5" s="24"/>
      <c r="E5" s="24"/>
      <c r="F5" s="24"/>
    </row>
    <row r="6">
      <c r="A6" s="24"/>
      <c r="B6" s="24"/>
      <c r="C6" s="24"/>
      <c r="D6" s="24"/>
      <c r="E6" s="24"/>
      <c r="F6" s="24"/>
    </row>
    <row r="7">
      <c r="A7" s="34" t="s">
        <v>14</v>
      </c>
      <c r="B7" s="34" t="s">
        <v>17</v>
      </c>
      <c r="C7" s="34" t="s">
        <v>18</v>
      </c>
      <c r="D7" s="34" t="s">
        <v>19</v>
      </c>
      <c r="E7" s="34" t="s">
        <v>21</v>
      </c>
      <c r="F7" s="34" t="s">
        <v>22</v>
      </c>
    </row>
    <row r="8">
      <c r="A8" s="44">
        <v>1.0</v>
      </c>
      <c r="B8" s="44" t="s">
        <v>49</v>
      </c>
      <c r="C8" s="62">
        <v>45799.0</v>
      </c>
      <c r="D8" s="44" t="s">
        <v>50</v>
      </c>
      <c r="E8" s="69" t="s">
        <v>49</v>
      </c>
      <c r="F8" s="69" t="s">
        <v>57</v>
      </c>
    </row>
    <row r="9">
      <c r="A9" s="44">
        <v>2.0</v>
      </c>
      <c r="B9" s="44" t="s">
        <v>60</v>
      </c>
      <c r="C9" s="62">
        <v>45799.0</v>
      </c>
      <c r="D9" s="44" t="s">
        <v>61</v>
      </c>
      <c r="E9" s="69" t="s">
        <v>60</v>
      </c>
      <c r="F9" s="44" t="s">
        <v>62</v>
      </c>
    </row>
    <row r="10">
      <c r="A10" s="44">
        <v>3.0</v>
      </c>
      <c r="B10" s="44" t="s">
        <v>64</v>
      </c>
      <c r="C10" s="62">
        <v>45799.0</v>
      </c>
      <c r="D10" s="44" t="s">
        <v>66</v>
      </c>
      <c r="E10" s="69" t="s">
        <v>64</v>
      </c>
      <c r="F10" s="44" t="s">
        <v>67</v>
      </c>
    </row>
    <row r="11">
      <c r="A11" s="44">
        <v>4.0</v>
      </c>
      <c r="B11" s="44" t="s">
        <v>69</v>
      </c>
      <c r="C11" s="62">
        <v>45799.0</v>
      </c>
      <c r="D11" s="44" t="s">
        <v>70</v>
      </c>
      <c r="E11" s="69" t="s">
        <v>72</v>
      </c>
      <c r="F11" s="44" t="s">
        <v>73</v>
      </c>
    </row>
    <row r="12">
      <c r="A12" s="44">
        <v>5.0</v>
      </c>
      <c r="B12" s="44" t="s">
        <v>75</v>
      </c>
      <c r="C12" s="62">
        <v>45799.0</v>
      </c>
      <c r="D12" s="44" t="s">
        <v>77</v>
      </c>
      <c r="E12" s="69" t="s">
        <v>75</v>
      </c>
      <c r="F12" s="44" t="s">
        <v>80</v>
      </c>
    </row>
    <row r="13">
      <c r="A13" s="44">
        <v>6.0</v>
      </c>
      <c r="B13" s="44" t="s">
        <v>81</v>
      </c>
      <c r="C13" s="62">
        <v>45799.0</v>
      </c>
      <c r="D13" s="44" t="s">
        <v>82</v>
      </c>
      <c r="E13" s="69" t="s">
        <v>81</v>
      </c>
      <c r="F13" s="44" t="s">
        <v>85</v>
      </c>
    </row>
    <row r="14">
      <c r="A14" s="44">
        <v>7.0</v>
      </c>
      <c r="B14" s="44" t="s">
        <v>87</v>
      </c>
      <c r="C14" s="62">
        <v>45799.0</v>
      </c>
      <c r="D14" s="44" t="s">
        <v>88</v>
      </c>
      <c r="E14" s="69" t="s">
        <v>90</v>
      </c>
      <c r="F14" s="44" t="s">
        <v>91</v>
      </c>
    </row>
    <row r="15">
      <c r="A15" s="44">
        <v>8.0</v>
      </c>
      <c r="B15" s="44" t="s">
        <v>93</v>
      </c>
      <c r="C15" s="62">
        <v>45799.0</v>
      </c>
      <c r="D15" s="44" t="s">
        <v>94</v>
      </c>
      <c r="E15" s="69" t="s">
        <v>93</v>
      </c>
      <c r="F15" s="44" t="s">
        <v>95</v>
      </c>
    </row>
    <row r="16">
      <c r="A16" s="44">
        <v>10.0</v>
      </c>
      <c r="B16" s="44"/>
      <c r="C16" s="62">
        <v>45799.0</v>
      </c>
      <c r="D16" s="44" t="s">
        <v>96</v>
      </c>
      <c r="E16" s="69" t="s">
        <v>96</v>
      </c>
      <c r="F16" s="82"/>
    </row>
  </sheetData>
  <mergeCells count="7">
    <mergeCell ref="A1:B3"/>
    <mergeCell ref="C1:E3"/>
    <mergeCell ref="F1:G1"/>
    <mergeCell ref="F2:G2"/>
    <mergeCell ref="F3:G3"/>
    <mergeCell ref="A4:E4"/>
    <mergeCell ref="F4:G4"/>
  </mergeCells>
  <dataValidations>
    <dataValidation type="list" allowBlank="1" showErrorMessage="1" sqref="B8:B16">
      <formula1>Appendix!$B$4:$B$12</formula1>
    </dataValidation>
  </dataValidations>
  <hyperlinks>
    <hyperlink display="Requirement" location="null!A1" ref="E8"/>
    <hyperlink display="Link file responde google form of Requirement" location="'Responde rule 1'!A1" ref="F8"/>
    <hyperlink display="Activities Management" location="null!A1" ref="E9"/>
    <hyperlink display="Design" location="null!A1" ref="E10"/>
    <hyperlink display="Naming Rule" location="null!A1" ref="E11"/>
    <hyperlink display="Communication" location="null!A1" ref="E12"/>
    <hyperlink display="Coding" location="null!A1" ref="E13"/>
    <hyperlink display="Testing+Bug log" location="null!A1" ref="E14"/>
    <hyperlink display="Production usage" location="null!A1" ref="E15"/>
    <hyperlink display="Appendix" location="Appendix!A1" ref="E16"/>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4.25"/>
    <col customWidth="1" min="2" max="5" width="31.38"/>
    <col customWidth="1" min="6" max="6" width="16.75"/>
    <col customWidth="1" min="7" max="8" width="11.13"/>
    <col customWidth="1" min="9" max="9" width="23.25"/>
  </cols>
  <sheetData>
    <row r="1">
      <c r="A1" s="1"/>
      <c r="B1" s="2"/>
      <c r="C1" s="4" t="s">
        <v>1</v>
      </c>
      <c r="D1" s="2"/>
      <c r="E1" s="2"/>
      <c r="F1" s="2"/>
      <c r="G1" s="5" t="s">
        <v>2</v>
      </c>
      <c r="H1" s="2"/>
      <c r="I1" s="3"/>
    </row>
    <row r="2">
      <c r="A2" s="7"/>
      <c r="C2" s="7"/>
      <c r="G2" s="9" t="s">
        <v>3</v>
      </c>
      <c r="I2" s="8"/>
    </row>
    <row r="3">
      <c r="A3" s="11"/>
      <c r="B3" s="12"/>
      <c r="C3" s="7"/>
      <c r="G3" s="15" t="s">
        <v>4</v>
      </c>
      <c r="H3" s="12"/>
      <c r="I3" s="13"/>
    </row>
    <row r="4">
      <c r="A4" s="16" t="s">
        <v>5</v>
      </c>
      <c r="B4" s="17"/>
      <c r="C4" s="17"/>
      <c r="D4" s="17"/>
      <c r="E4" s="17"/>
      <c r="F4" s="17"/>
      <c r="G4" s="16" t="s">
        <v>6</v>
      </c>
      <c r="H4" s="17"/>
      <c r="I4" s="18"/>
    </row>
    <row r="5">
      <c r="A5" s="23"/>
      <c r="B5" s="25"/>
      <c r="C5" s="23"/>
      <c r="D5" s="27"/>
      <c r="E5" s="27"/>
      <c r="F5" s="27"/>
      <c r="G5" s="23"/>
      <c r="H5" s="23"/>
      <c r="I5" s="23"/>
    </row>
    <row r="6">
      <c r="A6" s="31" t="s">
        <v>12</v>
      </c>
      <c r="B6" s="32"/>
      <c r="C6" s="35"/>
      <c r="D6" s="37"/>
      <c r="E6" s="37"/>
      <c r="F6" s="37"/>
      <c r="G6" s="35"/>
      <c r="H6" s="35"/>
      <c r="I6" s="35"/>
    </row>
    <row r="7">
      <c r="A7" s="41" t="s">
        <v>20</v>
      </c>
      <c r="B7" s="29" t="s">
        <v>23</v>
      </c>
      <c r="C7" s="26" t="s">
        <v>25</v>
      </c>
      <c r="D7" s="26" t="s">
        <v>26</v>
      </c>
      <c r="E7" s="26" t="s">
        <v>28</v>
      </c>
      <c r="F7" s="26" t="s">
        <v>29</v>
      </c>
      <c r="G7" s="46" t="s">
        <v>32</v>
      </c>
      <c r="H7" s="46" t="s">
        <v>33</v>
      </c>
      <c r="I7" s="46" t="s">
        <v>34</v>
      </c>
    </row>
    <row r="8">
      <c r="A8" s="49">
        <v>1.0</v>
      </c>
      <c r="B8" s="56" t="str">
        <f>IFERROR(__xludf.DUMMYFUNCTION("GOOGLETRANSLATE(D8,""vi"",""ja"")"),"【情報変更】新しい情報（仕様、注意点など）がある場合は、チーム全体で共有する必要があります。")</f>
        <v>【情報変更】新しい情報（仕様、注意点など）がある場合は、チーム全体で共有する必要があります。</v>
      </c>
      <c r="C8" s="56" t="str">
        <f>IFERROR(__xludf.DUMMYFUNCTION("GOOGLETRANSLATE(E8,""vi"",""ja"")"),"クライアントから以下のような新しい情報が提供される場合：
+ タスクの優先順位の変更
+ 仕様の変更
+ PRD環境のURL/APIの使用に関する注意喚起
これらの情報がチーム全体で共有されない場合、以下のような問題が発生する可能性があります：
+ 古い情報に基づいて作業を続け、時間を浪費する
+ 優先順位付けの必要のないタスクに優先順位を付けてしまう
+ インシデントが発生する
したがって、これらの問題を回避するためには、新しい情報が入手可能になった際にチームメンバーに周知することが不可欠です。")</f>
        <v>クライアントから以下のような新しい情報が提供される場合：
+ タスクの優先順位の変更
+ 仕様の変更
+ PRD環境のURL/APIの使用に関する注意喚起
これらの情報がチーム全体で共有されない場合、以下のような問題が発生する可能性があります：
+ 古い情報に基づいて作業を続け、時間を浪費する
+ 優先順位付けの必要のないタスクに優先順位を付けてしまう
+ インシデントが発生する
したがって、これらの問題を回避するためには、新しい情報が入手可能になった際にチームメンバーに周知することが不可欠です。</v>
      </c>
      <c r="D8" s="56" t="s">
        <v>45</v>
      </c>
      <c r="E8" s="56" t="s">
        <v>47</v>
      </c>
      <c r="F8" s="56" t="s">
        <v>53</v>
      </c>
      <c r="G8" s="66"/>
      <c r="H8" s="66"/>
      <c r="I8" s="66"/>
    </row>
    <row r="9">
      <c r="A9" s="49">
        <v>2.0</v>
      </c>
      <c r="B9" s="56" t="str">
        <f>IFERROR(__xludf.DUMMYFUNCTION("GOOGLETRANSLATE(D9,""vi"",""ja"")"),"【情報確認】仕様を分析する際に不明な点があれば、ご不明な点についてお問い合わせください。")</f>
        <v>【情報確認】仕様を分析する際に不明な点があれば、ご不明な点についてお問い合わせください。</v>
      </c>
      <c r="C9" s="56" t="str">
        <f>IFERROR(__xludf.DUMMYFUNCTION("GOOGLETRANSLATE(E9,""vi"",""ja"")"),"要件は通常テキストで記述されるため、不明な点があれば（たとえアイテムラベルのような些細なことでも）、必ず確認を求めてください。BrSE（ビジネスロジックエンジニア）の誤解は、開発者がクライアントの意図とは全く異なる機能を開発してしまう原因となります。
これは双方にとって問題となるため、BrSEは常に「不明な点があれば確認を求める」という姿勢を持つべきです。")</f>
        <v>要件は通常テキストで記述されるため、不明な点があれば（たとえアイテムラベルのような些細なことでも）、必ず確認を求めてください。BrSE（ビジネスロジックエンジニア）の誤解は、開発者がクライアントの意図とは全く異なる機能を開発してしまう原因となります。
これは双方にとって問題となるため、BrSEは常に「不明な点があれば確認を求める」という姿勢を持つべきです。</v>
      </c>
      <c r="D9" s="56" t="s">
        <v>58</v>
      </c>
      <c r="E9" s="56" t="s">
        <v>59</v>
      </c>
      <c r="F9" s="56" t="s">
        <v>53</v>
      </c>
      <c r="G9" s="66"/>
      <c r="H9" s="66"/>
      <c r="I9" s="66"/>
    </row>
    <row r="10">
      <c r="A10" s="49">
        <v>3.0</v>
      </c>
      <c r="B10" s="56" t="str">
        <f>IFERROR(__xludf.DUMMYFUNCTION("GOOGLETRANSLATE(D10,""vi"",""ja"")"),"【情報確認】お客様から肯定的なレビューをいただいても、仕様書に記載がなく、具体的な指示や説明がない場合は、確認が必要です。")</f>
        <v>【情報確認】お客様から肯定的なレビューをいただいても、仕様書に記載がなく、具体的な指示や説明がない場合は、確認が必要です。</v>
      </c>
      <c r="C10" s="56" t="str">
        <f>IFERROR(__xludf.DUMMYFUNCTION("GOOGLETRANSLATE(E10,""vi"",""ja"")"),"プロジェクト実施中は、以下のような状況が必ず発生します。
+ ユーザーの視点から見て、このレイアウト／ロジックは問題ないと思う。
+ このコードは少し不自然なので、リファクタリングしよう。
クライアントが合意内容を明確に示していない、あるいは確認していない状況で、個人的な判断のみに基づいて作業を進めると、「クライアントの要求を満たせない」「他の関係者に悪影響を与える」「予定より時間がかかる」といったリスクが生じます。そのため、作業を進める前に必ずクライアントに連絡を取り、確認を取ることが不可欠です。")</f>
        <v>プロジェクト実施中は、以下のような状況が必ず発生します。
+ ユーザーの視点から見て、このレイアウト／ロジックは問題ないと思う。
+ このコードは少し不自然なので、リファクタリングしよう。
クライアントが合意内容を明確に示していない、あるいは確認していない状況で、個人的な判断のみに基づいて作業を進めると、「クライアントの要求を満たせない」「他の関係者に悪影響を与える」「予定より時間がかかる」といったリスクが生じます。そのため、作業を進める前に必ずクライアントに連絡を取り、確認を取ることが不可欠です。</v>
      </c>
      <c r="D10" s="56" t="s">
        <v>63</v>
      </c>
      <c r="E10" s="56" t="s">
        <v>65</v>
      </c>
      <c r="F10" s="56" t="s">
        <v>53</v>
      </c>
      <c r="G10" s="66"/>
      <c r="H10" s="66"/>
      <c r="I10" s="74" t="s">
        <v>68</v>
      </c>
    </row>
    <row r="11">
      <c r="A11" s="49">
        <v>4.0</v>
      </c>
      <c r="B11" s="56" t="str">
        <f>IFERROR(__xludf.DUMMYFUNCTION("GOOGLETRANSLATE(D11,""vi"",""ja"")"),"【情報確認】クライアントに確認を求める前に、メインロジックを自分で確認してください。")</f>
        <v>【情報確認】クライアントに確認を求める前に、メインロジックを自分で確認してください。</v>
      </c>
      <c r="C11" s="56" t="str">
        <f>IFERROR(__xludf.DUMMYFUNCTION("GOOGLETRANSLATE(E11,""vi"",""ja"")"),"過去には、クライアントに最終確認を依頼した後、各画面にアクセスした直後にエラーが発生し、ボタンが機能しないといった事例がありました。
これはクライアントの印象を悪くします。そのため、クライアントに確認を依頼する際は、まずご自身の環境で主要なロジックを確認してください。もし対応が遅れる場合は、QA担当者に確認を依頼してください。")</f>
        <v>過去には、クライアントに最終確認を依頼した後、各画面にアクセスした直後にエラーが発生し、ボタンが機能しないといった事例がありました。
これはクライアントの印象を悪くします。そのため、クライアントに確認を依頼する際は、まずご自身の環境で主要なロジックを確認してください。もし対応が遅れる場合は、QA担当者に確認を依頼してください。</v>
      </c>
      <c r="D11" s="56" t="s">
        <v>76</v>
      </c>
      <c r="E11" s="56" t="s">
        <v>79</v>
      </c>
      <c r="F11" s="56" t="s">
        <v>53</v>
      </c>
      <c r="G11" s="66"/>
      <c r="H11" s="66"/>
      <c r="I11" s="66"/>
    </row>
    <row r="12">
      <c r="A12" s="49">
        <v>5.0</v>
      </c>
      <c r="B12" s="56" t="str">
        <f>IFERROR(__xludf.DUMMYFUNCTION("GOOGLETRANSLATE(D12,""vi"",""ja"")"),"【情報確認】テスト環境／テストデバイス（テストブラウザ、iOSバージョンなど）を確認することをお勧めします。")</f>
        <v>【情報確認】テスト環境／テストデバイス（テストブラウザ、iOSバージョンなど）を確認することをお勧めします。</v>
      </c>
      <c r="C12" s="56" t="str">
        <f>IFERROR(__xludf.DUMMYFUNCTION("GOOGLETRANSLATE(E12,""vi"",""ja"")"),"これは作業量に関する重要な入力情報です。確認がなければ、作業量を正確に見積もることも、必要なブラウザすべてに対応できることを確認することも不可能です。
これは多くのエラーにつながります。残業が必要ない場合でもスケジュールが守られず、クライアントは顧客との合意に基づきリリース日を延期せざるを得なくなります。")</f>
        <v>これは作業量に関する重要な入力情報です。確認がなければ、作業量を正確に見積もることも、必要なブラウザすべてに対応できることを確認することも不可能です。
これは多くのエラーにつながります。残業が必要ない場合でもスケジュールが守られず、クライアントは顧客との合意に基づきリリース日を延期せざるを得なくなります。</v>
      </c>
      <c r="D12" s="56" t="s">
        <v>84</v>
      </c>
      <c r="E12" s="56" t="s">
        <v>86</v>
      </c>
      <c r="F12" s="56" t="s">
        <v>53</v>
      </c>
      <c r="G12" s="66"/>
      <c r="H12" s="66"/>
      <c r="I12" s="66"/>
    </row>
    <row r="13">
      <c r="A13" s="49"/>
      <c r="B13" s="56"/>
      <c r="C13" s="56"/>
      <c r="D13" s="56"/>
      <c r="E13" s="56"/>
      <c r="F13" s="80"/>
      <c r="G13" s="66"/>
      <c r="H13" s="66"/>
      <c r="I13" s="66"/>
    </row>
    <row r="14">
      <c r="A14" s="49"/>
      <c r="B14" s="56"/>
      <c r="C14" s="56"/>
      <c r="D14" s="56"/>
      <c r="E14" s="56"/>
      <c r="F14" s="80"/>
      <c r="G14" s="66"/>
      <c r="H14" s="66"/>
      <c r="I14" s="66"/>
    </row>
  </sheetData>
  <mergeCells count="7">
    <mergeCell ref="A1:B3"/>
    <mergeCell ref="C1:F3"/>
    <mergeCell ref="G1:I1"/>
    <mergeCell ref="G2:I2"/>
    <mergeCell ref="G3:I3"/>
    <mergeCell ref="A4:F4"/>
    <mergeCell ref="G4:I4"/>
  </mergeCells>
  <conditionalFormatting sqref="F13:F14">
    <cfRule type="notContainsBlanks" dxfId="0" priority="1">
      <formula>LEN(TRIM(F13))&gt;0</formula>
    </cfRule>
  </conditionalFormatting>
  <dataValidations>
    <dataValidation type="list" allowBlank="1" showErrorMessage="1" sqref="F8:F14">
      <formula1>Appendix!$F$4:$F$6</formula1>
    </dataValidation>
    <dataValidation type="list" allowBlank="1" showErrorMessage="1" sqref="G8:G14">
      <formula1>Appendix!$D$4:$D$5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3.88"/>
    <col customWidth="1" min="2" max="5" width="31.38"/>
    <col customWidth="1" min="6" max="6" width="16.75"/>
    <col customWidth="1" min="7" max="7" width="11.13"/>
    <col customWidth="1" min="8" max="8" width="10.88"/>
    <col customWidth="1" min="9" max="9" width="28.75"/>
  </cols>
  <sheetData>
    <row r="1">
      <c r="A1" s="1"/>
      <c r="B1" s="2"/>
      <c r="C1" s="4" t="s">
        <v>54</v>
      </c>
      <c r="D1" s="2"/>
      <c r="E1" s="2"/>
      <c r="F1" s="5" t="s">
        <v>2</v>
      </c>
      <c r="G1" s="2"/>
      <c r="H1" s="3"/>
      <c r="I1" s="23"/>
    </row>
    <row r="2">
      <c r="A2" s="7"/>
      <c r="C2" s="7"/>
      <c r="F2" s="9" t="s">
        <v>3</v>
      </c>
      <c r="H2" s="8"/>
      <c r="I2" s="23"/>
    </row>
    <row r="3">
      <c r="A3" s="11"/>
      <c r="B3" s="12"/>
      <c r="C3" s="7"/>
      <c r="F3" s="15" t="s">
        <v>4</v>
      </c>
      <c r="G3" s="12"/>
      <c r="H3" s="13"/>
      <c r="I3" s="23"/>
    </row>
    <row r="4">
      <c r="A4" s="16" t="s">
        <v>5</v>
      </c>
      <c r="B4" s="70"/>
      <c r="C4" s="70"/>
      <c r="D4" s="70"/>
      <c r="E4" s="70"/>
      <c r="F4" s="16" t="s">
        <v>6</v>
      </c>
      <c r="G4" s="17"/>
      <c r="H4" s="18"/>
      <c r="I4" s="23"/>
    </row>
    <row r="5">
      <c r="A5" s="23"/>
      <c r="B5" s="25"/>
      <c r="C5" s="23"/>
      <c r="D5" s="27"/>
      <c r="E5" s="27"/>
      <c r="F5" s="27"/>
      <c r="G5" s="71"/>
      <c r="H5" s="23"/>
      <c r="I5" s="23"/>
    </row>
    <row r="6">
      <c r="A6" s="31" t="s">
        <v>12</v>
      </c>
      <c r="B6" s="32"/>
      <c r="C6" s="35"/>
      <c r="D6" s="37"/>
      <c r="E6" s="37"/>
      <c r="F6" s="37"/>
      <c r="G6" s="72"/>
      <c r="H6" s="35"/>
      <c r="I6" s="35"/>
    </row>
    <row r="7">
      <c r="A7" s="41" t="s">
        <v>20</v>
      </c>
      <c r="B7" s="26" t="s">
        <v>23</v>
      </c>
      <c r="C7" s="26" t="s">
        <v>25</v>
      </c>
      <c r="D7" s="26" t="s">
        <v>26</v>
      </c>
      <c r="E7" s="73" t="s">
        <v>28</v>
      </c>
      <c r="F7" s="26" t="s">
        <v>71</v>
      </c>
      <c r="G7" s="75" t="s">
        <v>32</v>
      </c>
      <c r="H7" s="46" t="s">
        <v>33</v>
      </c>
      <c r="I7" s="46" t="s">
        <v>34</v>
      </c>
    </row>
    <row r="8">
      <c r="A8" s="76">
        <v>1.0</v>
      </c>
      <c r="B8" s="77" t="str">
        <f>IFERROR(__xludf.DUMMYFUNCTION("GOOGLETRANSLATE(D8,""vi"",""ja"")"),"【Gitフロー管理】チーム内および顧客との間でGitフローを標準化する：
- 顧客に特別な要件がない場合は、Sun*のGitフローを適用する。
- 顧客に特定の要件がある場合は、顧客と協議の上、Gitフローを標準化する。")</f>
        <v>【Gitフロー管理】チーム内および顧客との間でGitフローを標準化する：
- 顧客に特別な要件がない場合は、Sun*のGitフローを適用する。
- 顧客に特定の要件がある場合は、顧客と協議の上、Gitフローを標準化する。</v>
      </c>
      <c r="C8" s="77" t="str">
        <f>IFERROR(__xludf.DUMMYFUNCTION("GOOGLETRANSLATE(E8,""vi"",""ja"")"),"1. 以下のリンクから会社のGitフローを適用してください。（ベトナム語版）
https://docs.google.com/presentation/d/1IlukqKO87kERmzm91yUHmFW8Ve4HlmGu/ 2. クライアントとの作業時にGitフローを変更する例を以下に示します。
通常、シニア開発者はプルリクエスト（PR）を自身でマージしますが、シニア開発者がPRをプッシュし、クライアントがレビュー、承認、マージを行う場合もあります。
例：
→クライアントのリポジトリにPRを作成する前"&amp;"に、以下の内容でクライアントにレビューを依頼してください。（BrSEはSlackで連絡を取ります）
・クライアントのリポジトリのPRのURL
・クライアントに送信するPRに記載するタイトル/説明
・設定値の変更（概要）")</f>
        <v>1. 以下のリンクから会社のGitフローを適用してください。（ベトナム語版）
https://docs.google.com/presentation/d/1IlukqKO87kERmzm91yUHmFW8Ve4HlmGu/ 2. クライアントとの作業時にGitフローを変更する例を以下に示します。
通常、シニア開発者はプルリクエスト（PR）を自身でマージしますが、シニア開発者がPRをプッシュし、クライアントがレビュー、承認、マージを行う場合もあります。
例：
→クライアントのリポジトリにPRを作成する前に、以下の内容でクライアントにレビューを依頼してください。（BrSEはSlackで連絡を取ります）
・クライアントのリポジトリのPRのURL
・クライアントに送信するPRに記載するタイトル/説明
・設定値の変更（概要）</v>
      </c>
      <c r="D8" s="74" t="s">
        <v>89</v>
      </c>
      <c r="E8" s="81" t="s">
        <v>92</v>
      </c>
      <c r="F8" s="56" t="s">
        <v>53</v>
      </c>
      <c r="G8" s="66"/>
      <c r="H8" s="83"/>
      <c r="I8" s="83"/>
    </row>
    <row r="9">
      <c r="A9" s="49">
        <f t="shared" ref="A9:A17" si="1">A8+1</f>
        <v>2</v>
      </c>
      <c r="B9" s="74" t="str">
        <f>IFERROR(__xludf.DUMMYFUNCTION("GOOGLETRANSLATE(D9,""vi"",""ja"")"),"【タスク管理】タスクを開始する際は、必要な情報がすべて揃っていることを確認してください。")</f>
        <v>【タスク管理】タスクを開始する際は、必要な情報がすべて揃っていることを確認してください。</v>
      </c>
      <c r="C9" s="74" t="str">
        <f>IFERROR(__xludf.DUMMYFUNCTION("GOOGLETRANSLATE(E9,""vi"",""ja"")"),"作業を進めるのに十分な情報が揃っているかどうかの判断は、個々のケースによって異なります。ただし、以下の情報が揃っている場合は、作業を進めることができます。
- 仕様：各ケース（典型的なケース、特殊なケース）ごとに、何を行う必要があるのか​​、また、どのような順序で作業を行う必要があるのか​​。
- データベース：該当する機能に関連するカラムマッチングやERマップドキュメントが存在する場合、データリンクと保存場所を明確にする。
- 関連部品：他の部品との接続がある場合、それらの影響範囲と整合性を判断する"&amp;"。
- サンプル：アップロード、ダウンロード、ロード、API呼び出しなどを含むケースでは、サンプルがあると理解とコミュニケーションが容易になる。")</f>
        <v>作業を進めるのに十分な情報が揃っているかどうかの判断は、個々のケースによって異なります。ただし、以下の情報が揃っている場合は、作業を進めることができます。
- 仕様：各ケース（典型的なケース、特殊なケース）ごとに、何を行う必要があるのか​​、また、どのような順序で作業を行う必要があるのか​​。
- データベース：該当する機能に関連するカラムマッチングやERマップドキュメントが存在する場合、データリンクと保存場所を明確にする。
- 関連部品：他の部品との接続がある場合、それらの影響範囲と整合性を判断する。
- サンプル：アップロード、ダウンロード、ロード、API呼び出しなどを含むケースでは、サンプルがあると理解とコミュニケーションが容易になる。</v>
      </c>
      <c r="D9" s="74" t="s">
        <v>98</v>
      </c>
      <c r="E9" s="74" t="s">
        <v>99</v>
      </c>
      <c r="F9" s="56" t="s">
        <v>53</v>
      </c>
      <c r="G9" s="66"/>
      <c r="H9" s="84"/>
      <c r="I9" s="84"/>
    </row>
    <row r="10">
      <c r="A10" s="49">
        <f t="shared" si="1"/>
        <v>3</v>
      </c>
      <c r="B10" s="74" t="str">
        <f>IFERROR(__xludf.DUMMYFUNCTION("GOOGLETRANSLATE(D10,""vi"",""ja"")"),"【タスク管理】タスクに取り組んでいるときや連絡内容を確認しているときに、期限に間に合わない可能性があることに気づいた場合は、その時点で直ちにPSM/クライアントに連絡してください。")</f>
        <v>【タスク管理】タスクに取り組んでいるときや連絡内容を確認しているときに、期限に間に合わない可能性があることに気づいた場合は、その時点で直ちにPSM/クライアントに連絡してください。</v>
      </c>
      <c r="C10" s="74" t="str">
        <f>IFERROR(__xludf.DUMMYFUNCTION("GOOGLETRANSLATE(E10,""vi"",""ja"")"),"見積もりは必ずしも計画通りに進まない可能性があります。事前に合意した期限を守れないケースも必ず発生します。
したがって、
- プロジェクトメンバーは、期限を守れない可能性がある場合は、直ちにPSMまたはリーダーに連絡してください。状況、理由、計画している調整などについて報告してください。
- PSMは、期限に間に合わない可能性があると認識したら、直ちにクライアントに連絡し、「計画を調整する」か「クライアントも協力する」かをクライアントが判断できるようにしてください。")</f>
        <v>見積もりは必ずしも計画通りに進まない可能性があります。事前に合意した期限を守れないケースも必ず発生します。
したがって、
- プロジェクトメンバーは、期限を守れない可能性がある場合は、直ちにPSMまたはリーダーに連絡してください。状況、理由、計画している調整などについて報告してください。
- PSMは、期限に間に合わない可能性があると認識したら、直ちにクライアントに連絡し、「計画を調整する」か「クライアントも協力する」かをクライアントが判断できるようにしてください。</v>
      </c>
      <c r="D10" s="74" t="s">
        <v>100</v>
      </c>
      <c r="E10" s="74" t="s">
        <v>101</v>
      </c>
      <c r="F10" s="56" t="s">
        <v>53</v>
      </c>
      <c r="G10" s="66"/>
      <c r="H10" s="84"/>
      <c r="I10" s="84"/>
    </row>
    <row r="11">
      <c r="A11" s="49">
        <f t="shared" si="1"/>
        <v>4</v>
      </c>
      <c r="B11" s="74" t="str">
        <f>IFERROR(__xludf.DUMMYFUNCTION("GOOGLETRANSLATE(D11,""vi"",""ja"")"),"【タスク管理】チケットコンテンツ。")</f>
        <v>【タスク管理】チケットコンテンツ。</v>
      </c>
      <c r="C11" s="74" t="str">
        <f>IFERROR(__xludf.DUMMYFUNCTION("GOOGLETRANSLATE(E11,""vi"",""ja"")"),"タスク履歴を記録するためにチケットを作成しましょう。チケットを確認することで、タスクの内容、発生理由、タスクの割り当て者などをすぐに把握できます。")</f>
        <v>タスク履歴を記録するためにチケットを作成しましょう。チケットを確認することで、タスクの内容、発生理由、タスクの割り当て者などをすぐに把握できます。</v>
      </c>
      <c r="D11" s="74" t="s">
        <v>104</v>
      </c>
      <c r="E11" s="74" t="s">
        <v>105</v>
      </c>
      <c r="F11" s="56" t="s">
        <v>53</v>
      </c>
      <c r="G11" s="66"/>
      <c r="H11" s="84"/>
      <c r="I11" s="84"/>
    </row>
    <row r="12">
      <c r="A12" s="49">
        <f t="shared" si="1"/>
        <v>5</v>
      </c>
      <c r="B12" s="74" t="str">
        <f>IFERROR(__xludf.DUMMYFUNCTION("GOOGLETRANSLATE(D12,""vi"",""ja"")"),"【タスク管理】メンバーは定期的にチケットを更新する必要があります。")</f>
        <v>【タスク管理】メンバーは定期的にチケットを更新する必要があります。</v>
      </c>
      <c r="C12" s="74" t="str">
        <f>IFERROR(__xludf.DUMMYFUNCTION("GOOGLETRANSLATE(E12,""vi"",""ja"")"),"タスクの進捗状況を監視するため、チケットを定期的に更新してください。現在進行中のタスクについては、少なくとも毎日更新してください。")</f>
        <v>タスクの進捗状況を監視するため、チケットを定期的に更新してください。現在進行中のタスクについては、少なくとも毎日更新してください。</v>
      </c>
      <c r="D12" s="74" t="s">
        <v>106</v>
      </c>
      <c r="E12" s="74" t="s">
        <v>107</v>
      </c>
      <c r="F12" s="56" t="s">
        <v>53</v>
      </c>
      <c r="G12" s="66"/>
      <c r="H12" s="84"/>
      <c r="I12" s="84"/>
    </row>
    <row r="13">
      <c r="A13" s="49">
        <f t="shared" si="1"/>
        <v>6</v>
      </c>
      <c r="B13" s="74" t="str">
        <f>IFERROR(__xludf.DUMMYFUNCTION("GOOGLETRANSLATE(D13,""vi"",""ja"")"),"【タスク管理】チケットに記載されている作業のみを実行してください。記載されている作業以外の作業が必要な場合は、作業を進める前にPSMおよび顧客に連絡してください。")</f>
        <v>【タスク管理】チケットに記載されている作業のみを実行してください。記載されている作業以外の作業が必要な場合は、作業を進める前にPSMおよび顧客に連絡してください。</v>
      </c>
      <c r="C13" s="74" t="str">
        <f>IFERROR(__xludf.DUMMYFUNCTION("GOOGLETRANSLATE(E13,""vi"",""ja"")"),"チケットに記載されていない内容を実装すると、以下の問題が発生する可能性があります。
+ 影響範囲を正確に把握できないため、他の部分の動作を妨げるエラーが発生する可能性があります。
+ 不適切な方法で実装したり、クライアントの期待値を満たさなかったりするため、ロールバックが必要になり、労力が無駄になります。
したがって、チケットに記載されていない内容を実装する場合は、事前にPSMまたはクライアントに確認してください。")</f>
        <v>チケットに記載されていない内容を実装すると、以下の問題が発生する可能性があります。
+ 影響範囲を正確に把握できないため、他の部分の動作を妨げるエラーが発生する可能性があります。
+ 不適切な方法で実装したり、クライアントの期待値を満たさなかったりするため、ロールバックが必要になり、労力が無駄になります。
したがって、チケットに記載されていない内容を実装する場合は、事前にPSMまたはクライアントに確認してください。</v>
      </c>
      <c r="D13" s="74" t="s">
        <v>110</v>
      </c>
      <c r="E13" s="74" t="s">
        <v>111</v>
      </c>
      <c r="F13" s="56" t="s">
        <v>53</v>
      </c>
      <c r="G13" s="66"/>
      <c r="H13" s="88"/>
      <c r="I13" s="88"/>
    </row>
    <row r="14">
      <c r="A14" s="49">
        <f t="shared" si="1"/>
        <v>7</v>
      </c>
      <c r="B14" s="74" t="str">
        <f>IFERROR(__xludf.DUMMYFUNCTION("GOOGLETRANSLATE(D14,""vi"",""ja"")"),"【タスク管理】複数のタスクが同時に割り当てられた場合、各タスクの優先順位を確認する必要があります。")</f>
        <v>【タスク管理】複数のタスクが同時に割り当てられた場合、各タスクの優先順位を確認する必要があります。</v>
      </c>
      <c r="C14" s="74" t="str">
        <f>IFERROR(__xludf.DUMMYFUNCTION("GOOGLETRANSLATE(E14,""vi"",""ja"")"),"優先順位付けを怠ると、顧客の期待に応えられない可能性があります。新しいタスクの優先順位付けのために現在のタスクを一時停止する必要が生じた場合は、スケジュール変更が必要かどうかを明確に確認してください。")</f>
        <v>優先順位付けを怠ると、顧客の期待に応えられない可能性があります。新しいタスクの優先順位付けのために現在のタスクを一時停止する必要が生じた場合は、スケジュール変更が必要かどうかを明確に確認してください。</v>
      </c>
      <c r="D14" s="74" t="s">
        <v>112</v>
      </c>
      <c r="E14" s="74" t="s">
        <v>113</v>
      </c>
      <c r="F14" s="56" t="s">
        <v>53</v>
      </c>
      <c r="G14" s="66"/>
      <c r="H14" s="84"/>
      <c r="I14" s="84"/>
    </row>
    <row r="15">
      <c r="A15" s="49">
        <f t="shared" si="1"/>
        <v>8</v>
      </c>
      <c r="B15" s="74" t="str">
        <f>IFERROR(__xludf.DUMMYFUNCTION("GOOGLETRANSLATE(D15,""vi"",""ja"")"),"【会議】毎週対面で会議を行う場合は、会議議事録ファイルを作成し、会議の内容をメモする必要があります。")</f>
        <v>【会議】毎週対面で会議を行う場合は、会議議事録ファイルを作成し、会議の内容をメモする必要があります。</v>
      </c>
      <c r="C15" s="74" t="str">
        <f>IFERROR(__xludf.DUMMYFUNCTION("GOOGLETRANSLATE(E15,""vi"",""ja"")"),"会議議事録には、双方の報告内容や議論内容が記録されます。議事録がなければ、誤解や情報の漏れが生じやすくなります。")</f>
        <v>会議議事録には、双方の報告内容や議論内容が記録されます。議事録がなければ、誤解や情報の漏れが生じやすくなります。</v>
      </c>
      <c r="D15" s="74" t="s">
        <v>116</v>
      </c>
      <c r="E15" s="74" t="s">
        <v>117</v>
      </c>
      <c r="F15" s="56" t="s">
        <v>53</v>
      </c>
      <c r="G15" s="66"/>
      <c r="H15" s="84"/>
      <c r="I15" s="84"/>
    </row>
    <row r="16">
      <c r="A16" s="49">
        <f t="shared" si="1"/>
        <v>9</v>
      </c>
      <c r="B16" s="74" t="str">
        <f>IFERROR(__xludf.DUMMYFUNCTION("GOOGLETRANSLATE(D16,""vi"",""ja"")"),"【Q&amp;A】開発プロセスにおける適切な対応時間を確保するため、Q&amp;Aを優先度別に分類します。
◇ 緊急：他のタスクの遅延を許容してでも、直ちに対応が必要です。[当日中に完了する必要があります]
◇ 高：複数の要因が絡み、実装／テストに大きな影響を与える問題です。[数日以内に解決する必要があります]
◇ 通常：単一の要因のみが絡む問題です。他のタスク／案件を優先できます。[期限を設定できます]
◇ 低：対応が必要ですが、一時的な代替策があるため、影響はごくわずか、または実際の運用には影響しません。[期限は不要"&amp;"です]")</f>
        <v>【Q&amp;A】開発プロセスにおける適切な対応時間を確保するため、Q&amp;Aを優先度別に分類します。
◇ 緊急：他のタスクの遅延を許容してでも、直ちに対応が必要です。[当日中に完了する必要があります]
◇ 高：複数の要因が絡み、実装／テストに大きな影響を与える問題です。[数日以内に解決する必要があります]
◇ 通常：単一の要因のみが絡む問題です。他のタスク／案件を優先できます。[期限を設定できます]
◇ 低：対応が必要ですが、一時的な代替策があるため、影響はごくわずか、または実際の運用には影響しません。[期限は不要です]</v>
      </c>
      <c r="C16" s="74" t="str">
        <f>IFERROR(__xludf.DUMMYFUNCTION("GOOGLETRANSLATE(E16,""vi"",""ja"")"),"Q&amp;Aへの回答について：
・Q&amp;A提供者の方へ：確認が緊急ではなくなった場合は、速やかにクライアントにご連絡ください。
・Q&amp;A確認者の方へ：Q&amp;Aは現在「緊急」と評価されていますが、短期間で確認できない（つまり、「緊急」の優先度では完了を保証できない）と思われる場合は、短期間での確認はできない旨を回答してください。
→優先度を「緊急」に設定しても、1ヶ月間進捗がない場合、「緊急」という本来の意味が失われます。
→優先度「高」についても同様です。
→クライアント／シニア開発者は、「緊急」と評価さ"&amp;"れたタスク／課題は当日中に処理するというルールを設定していますので、双方ともこのルールを遵守していただくようお願いいたします。緊急案件が解決できないと思われる場合は、直ちにご連絡ください。クライアントの迅速な対応ができないためにシニア開発者の作業が滞ると、クライアントにも影響が出ます。その時点で、選択肢としては、土曜日、日曜日、あるいは深夜に問題を解決するか、プロジェクト自体を放棄するかといったことが考えられます。すぐに解決するだろうと考えても、結局はいつまでも解決されないままになり、最終的には非効率的な"&amp;"プロジェクト管理につながるのです。")</f>
        <v>Q&amp;Aへの回答について：
・Q&amp;A提供者の方へ：確認が緊急ではなくなった場合は、速やかにクライアントにご連絡ください。
・Q&amp;A確認者の方へ：Q&amp;Aは現在「緊急」と評価されていますが、短期間で確認できない（つまり、「緊急」の優先度では完了を保証できない）と思われる場合は、短期間での確認はできない旨を回答してください。
→優先度を「緊急」に設定しても、1ヶ月間進捗がない場合、「緊急」という本来の意味が失われます。
→優先度「高」についても同様です。
→クライアント／シニア開発者は、「緊急」と評価されたタスク／課題は当日中に処理するというルールを設定していますので、双方ともこのルールを遵守していただくようお願いいたします。緊急案件が解決できないと思われる場合は、直ちにご連絡ください。クライアントの迅速な対応ができないためにシニア開発者の作業が滞ると、クライアントにも影響が出ます。その時点で、選択肢としては、土曜日、日曜日、あるいは深夜に問題を解決するか、プロジェクト自体を放棄するかといったことが考えられます。すぐに解決するだろうと考えても、結局はいつまでも解決されないままになり、最終的には非効率的なプロジェクト管理につながるのです。</v>
      </c>
      <c r="D16" s="74" t="s">
        <v>120</v>
      </c>
      <c r="E16" s="74" t="s">
        <v>121</v>
      </c>
      <c r="F16" s="56" t="s">
        <v>53</v>
      </c>
      <c r="G16" s="66"/>
      <c r="H16" s="84"/>
      <c r="I16" s="84"/>
    </row>
    <row r="17">
      <c r="A17" s="49">
        <f t="shared" si="1"/>
        <v>10</v>
      </c>
      <c r="B17" s="74" t="str">
        <f>IFERROR(__xludf.DUMMYFUNCTION("GOOGLETRANSLATE(D17,""vi"",""ja"")"),"【ファイル管理】クライアントサーバー上の特定のファイルの内容を表示/編集する権限が必要な場合は、担当者に連絡して権限を申請してください。")</f>
        <v>【ファイル管理】クライアントサーバー上の特定のファイルの内容を表示/編集する権限が必要な場合は、担当者に連絡して権限を申請してください。</v>
      </c>
      <c r="C17" s="74" t="str">
        <f>IFERROR(__xludf.DUMMYFUNCTION("GOOGLETRANSLATE(E17,""vi"",""ja"")"),"1. クライアントサーバー上のファイルに対する閲覧/編集権限をリクエストするには、担当者に以下の情報を添えて連絡する必要があります。
- リクエスト者
- プロジェクトにおける役割
- 権限が必要なファイル/フォルダ
- 権限をリクエストする理由/目的
- アクセス権限の有効期間
- 不正使用の防止、本番環境でのファイルの取り扱いに関する誓約など
2. Google Suiteの「アクセスをリクエスト」ボタンは絶対に使用しないでください。")</f>
        <v>1. クライアントサーバー上のファイルに対する閲覧/編集権限をリクエストするには、担当者に以下の情報を添えて連絡する必要があります。
- リクエスト者
- プロジェクトにおける役割
- 権限が必要なファイル/フォルダ
- 権限をリクエストする理由/目的
- アクセス権限の有効期間
- 不正使用の防止、本番環境でのファイルの取り扱いに関する誓約など
2. Google Suiteの「アクセスをリクエスト」ボタンは絶対に使用しないでください。</v>
      </c>
      <c r="D17" s="74" t="s">
        <v>122</v>
      </c>
      <c r="E17" s="74" t="s">
        <v>123</v>
      </c>
      <c r="F17" s="56" t="s">
        <v>53</v>
      </c>
      <c r="G17" s="66"/>
      <c r="H17" s="88"/>
      <c r="I17" s="88"/>
    </row>
    <row r="18">
      <c r="A18" s="49">
        <v>11.0</v>
      </c>
      <c r="B18" s="74" t="str">
        <f>IFERROR(__xludf.DUMMYFUNCTION("GOOGLETRANSLATE(D18,""vi"",""ja"")"),"【クライアント予算管理】サードパーティサービス（AWS、Azure、OpenAIなど）の使用コストに関連するすべての変更は、システムに実装する前にクライアントに通知し、クライアントの承認を得る必要があります。")</f>
        <v>【クライアント予算管理】サードパーティサービス（AWS、Azure、OpenAIなど）の使用コストに関連するすべての変更は、システムに実装する前にクライアントに通知し、クライアントの承認を得る必要があります。</v>
      </c>
      <c r="C18" s="74" t="str">
        <f>IFERROR(__xludf.DUMMYFUNCTION("GOOGLETRANSLATE(E18,""vi"",""ja"")"),"サードパーティサービスの利用コストを増加させる可能性のある変更には、以下のようなものがあります。
- サービスソリューションの変更
- より上位のサービスパッケージへのアップグレード
…これらの変更は、システムに実装する前に必ずお客様への通知と承認が必要です。")</f>
        <v>サードパーティサービスの利用コストを増加させる可能性のある変更には、以下のようなものがあります。
- サービスソリューションの変更
- より上位のサービスパッケージへのアップグレード
…これらの変更は、システムに実装する前に必ずお客様への通知と承認が必要です。</v>
      </c>
      <c r="D18" s="74" t="s">
        <v>127</v>
      </c>
      <c r="E18" s="74" t="s">
        <v>128</v>
      </c>
      <c r="F18" s="56" t="s">
        <v>53</v>
      </c>
      <c r="G18" s="100"/>
      <c r="H18" s="88"/>
      <c r="I18" s="88"/>
    </row>
    <row r="19">
      <c r="A19" s="49"/>
      <c r="B19" s="74"/>
      <c r="C19" s="74"/>
      <c r="D19" s="74"/>
      <c r="E19" s="74"/>
      <c r="F19" s="56"/>
      <c r="G19" s="66"/>
      <c r="H19" s="88"/>
      <c r="I19" s="88"/>
    </row>
    <row r="20">
      <c r="A20" s="49"/>
      <c r="B20" s="74"/>
      <c r="C20" s="74"/>
      <c r="D20" s="74"/>
      <c r="E20" s="74"/>
      <c r="F20" s="56"/>
      <c r="G20" s="66"/>
      <c r="H20" s="88"/>
      <c r="I20" s="88"/>
    </row>
    <row r="21">
      <c r="A21" s="49"/>
      <c r="B21" s="74"/>
      <c r="C21" s="74"/>
      <c r="D21" s="74"/>
      <c r="E21" s="74"/>
      <c r="F21" s="56"/>
      <c r="G21" s="66"/>
      <c r="H21" s="88"/>
      <c r="I21" s="88"/>
    </row>
  </sheetData>
  <mergeCells count="6">
    <mergeCell ref="A1:B3"/>
    <mergeCell ref="C1:E3"/>
    <mergeCell ref="F1:H1"/>
    <mergeCell ref="F2:H2"/>
    <mergeCell ref="F3:H3"/>
    <mergeCell ref="F4:H4"/>
  </mergeCells>
  <dataValidations>
    <dataValidation type="list" allowBlank="1" showErrorMessage="1" sqref="F8:F21">
      <formula1>Appendix!$F$4:$F$6</formula1>
    </dataValidation>
    <dataValidation type="list" allowBlank="1" showErrorMessage="1" sqref="G8:G21">
      <formula1>Appendix!$D$4:$D$5</formula1>
    </dataValidation>
  </dataValidations>
  <hyperlinks>
    <hyperlink r:id="rId1" ref="E8"/>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4.25"/>
    <col customWidth="1" min="2" max="5" width="31.38"/>
    <col customWidth="1" min="6" max="6" width="16.75"/>
    <col customWidth="1" min="7" max="7" width="11.13"/>
    <col customWidth="1" min="8" max="8" width="12.75"/>
    <col customWidth="1" min="9" max="9" width="23.13"/>
  </cols>
  <sheetData>
    <row r="1">
      <c r="A1" s="1"/>
      <c r="B1" s="2"/>
      <c r="C1" s="4" t="s">
        <v>97</v>
      </c>
      <c r="D1" s="2"/>
      <c r="E1" s="2"/>
      <c r="F1" s="2"/>
      <c r="G1" s="5" t="s">
        <v>2</v>
      </c>
      <c r="H1" s="2"/>
      <c r="I1" s="3"/>
    </row>
    <row r="2">
      <c r="A2" s="7"/>
      <c r="C2" s="7"/>
      <c r="G2" s="9" t="s">
        <v>3</v>
      </c>
      <c r="I2" s="8"/>
    </row>
    <row r="3">
      <c r="A3" s="11"/>
      <c r="B3" s="12"/>
      <c r="C3" s="7"/>
      <c r="G3" s="15" t="s">
        <v>4</v>
      </c>
      <c r="H3" s="12"/>
      <c r="I3" s="13"/>
    </row>
    <row r="4">
      <c r="A4" s="16" t="s">
        <v>5</v>
      </c>
      <c r="B4" s="17"/>
      <c r="C4" s="17"/>
      <c r="D4" s="17"/>
      <c r="E4" s="17"/>
      <c r="F4" s="17"/>
      <c r="G4" s="16" t="s">
        <v>6</v>
      </c>
      <c r="H4" s="17"/>
      <c r="I4" s="18"/>
    </row>
    <row r="5">
      <c r="A5" s="23"/>
      <c r="B5" s="25"/>
      <c r="C5" s="23"/>
      <c r="D5" s="27"/>
      <c r="E5" s="27"/>
      <c r="F5" s="27"/>
      <c r="G5" s="23"/>
      <c r="H5" s="23"/>
      <c r="I5" s="23"/>
    </row>
    <row r="6">
      <c r="A6" s="31" t="s">
        <v>12</v>
      </c>
      <c r="B6" s="32"/>
      <c r="C6" s="35"/>
      <c r="D6" s="37"/>
      <c r="E6" s="37"/>
      <c r="F6" s="37"/>
      <c r="G6" s="35"/>
      <c r="H6" s="35"/>
      <c r="I6" s="35"/>
    </row>
    <row r="7">
      <c r="A7" s="41" t="s">
        <v>20</v>
      </c>
      <c r="B7" s="29" t="s">
        <v>23</v>
      </c>
      <c r="C7" s="26" t="s">
        <v>25</v>
      </c>
      <c r="D7" s="26" t="s">
        <v>26</v>
      </c>
      <c r="E7" s="26" t="s">
        <v>28</v>
      </c>
      <c r="F7" s="26" t="s">
        <v>29</v>
      </c>
      <c r="G7" s="46" t="s">
        <v>32</v>
      </c>
      <c r="H7" s="46" t="s">
        <v>33</v>
      </c>
      <c r="I7" s="26" t="s">
        <v>34</v>
      </c>
    </row>
    <row r="8">
      <c r="A8" s="49">
        <v>1.0</v>
      </c>
      <c r="B8" s="74" t="str">
        <f>IFERROR(__xludf.DUMMYFUNCTION("GOOGLETRANSLATE(D8,""vi"",""ja"")"),"【フリーソースの使用】プロジェクトでフリーライブラリを使用する場合は、クライアントに連絡して確認を取る必要があります。使用はクライアントの承認を得た後にのみ許可されます。")</f>
        <v>【フリーソースの使用】プロジェクトでフリーライブラリを使用する場合は、クライアントに連絡して確認を取る必要があります。使用はクライアントの承認を得た後にのみ許可されます。</v>
      </c>
      <c r="C8" s="74" t="str">
        <f>IFERROR(__xludf.DUMMYFUNCTION("GOOGLETRANSLATE(E8,""vi"",""ja"")"),"各フリーライブラリには独自のライセンスがあります。ライブラリによっては制限事項がある場合もあります。例えば、GPLライセンスのライブラリを使用する場合は、コードを公開する必要があります。
したがって、プロジェクト開発で特定のライブラリを使用したい場合は、クライアントに連絡してください。クライアントの承認を得てから使用してください。")</f>
        <v>各フリーライブラリには独自のライセンスがあります。ライブラリによっては制限事項がある場合もあります。例えば、GPLライセンスのライブラリを使用する場合は、コードを公開する必要があります。
したがって、プロジェクト開発で特定のライブラリを使用したい場合は、クライアントに連絡してください。クライアントの承認を得てから使用してください。</v>
      </c>
      <c r="D8" s="74" t="s">
        <v>108</v>
      </c>
      <c r="E8" s="74" t="s">
        <v>109</v>
      </c>
      <c r="F8" s="56" t="s">
        <v>53</v>
      </c>
      <c r="G8" s="66"/>
      <c r="H8" s="66"/>
      <c r="I8" s="66"/>
    </row>
    <row r="9">
      <c r="A9" s="49">
        <v>2.0</v>
      </c>
      <c r="B9" s="74" t="str">
        <f>IFERROR(__xludf.DUMMYFUNCTION("GOOGLETRANSLATE(D9,""vi"",""ja"")"),"【APIの使用】APIを開発する際には、通常は古いAPIバージョンをサポートする必要がありますが、念のため確認してください。")</f>
        <v>【APIの使用】APIを開発する際には、通常は古いAPIバージョンをサポートする必要がありますが、念のため確認してください。</v>
      </c>
      <c r="C9" s="74" t="str">
        <f>IFERROR(__xludf.DUMMYFUNCTION("GOOGLETRANSLATE(E9,""vi"",""ja"")"),"実際には、古いアプリ/Webバージョンをサポートしていなかったために、緊急対応策を検討せざるを得なかったプロジェクトも存在します。
古いバージョンをサポートしないとエンドユーザーに影響が出るため（一部または全ての機能が動作しなくなる可能性があります）、古いバージョンのサポートは多くの場合必要となります。
しかし、サポートが不要なケースもあるため、クライアントに確認することが重要です。サポートが必要な場合は、どのようなサポートが必要かを明確にするために質疑応答を実施してください。")</f>
        <v>実際には、古いアプリ/Webバージョンをサポートしていなかったために、緊急対応策を検討せざるを得なかったプロジェクトも存在します。
古いバージョンをサポートしないとエンドユーザーに影響が出るため（一部または全ての機能が動作しなくなる可能性があります）、古いバージョンのサポートは多くの場合必要となります。
しかし、サポートが不要なケースもあるため、クライアントに確認することが重要です。サポートが必要な場合は、どのようなサポートが必要かを明確にするために質疑応答を実施してください。</v>
      </c>
      <c r="D9" s="74" t="s">
        <v>114</v>
      </c>
      <c r="E9" s="74" t="s">
        <v>115</v>
      </c>
      <c r="F9" s="56" t="s">
        <v>53</v>
      </c>
      <c r="G9" s="66"/>
      <c r="H9" s="66"/>
      <c r="I9" s="66"/>
    </row>
    <row r="10">
      <c r="A10" s="49"/>
      <c r="B10" s="74"/>
      <c r="C10" s="74"/>
      <c r="D10" s="74"/>
      <c r="E10" s="74"/>
      <c r="F10" s="56"/>
      <c r="G10" s="66"/>
      <c r="H10" s="66"/>
      <c r="I10" s="66"/>
    </row>
    <row r="11">
      <c r="A11" s="49"/>
      <c r="B11" s="74"/>
      <c r="C11" s="74"/>
      <c r="D11" s="74"/>
      <c r="E11" s="74"/>
      <c r="F11" s="56"/>
      <c r="G11" s="66"/>
      <c r="H11" s="66"/>
      <c r="I11" s="66"/>
    </row>
  </sheetData>
  <mergeCells count="7">
    <mergeCell ref="A1:B3"/>
    <mergeCell ref="C1:F3"/>
    <mergeCell ref="G1:I1"/>
    <mergeCell ref="G2:I2"/>
    <mergeCell ref="G3:I3"/>
    <mergeCell ref="A4:F4"/>
    <mergeCell ref="G4:I4"/>
  </mergeCells>
  <dataValidations>
    <dataValidation type="list" allowBlank="1" showErrorMessage="1" sqref="F8:F11">
      <formula1>Appendix!$F$4:$F$6</formula1>
    </dataValidation>
    <dataValidation type="list" allowBlank="1" showErrorMessage="1" sqref="G8:G11">
      <formula1>Appendix!$D$4:$D$5</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4.25"/>
    <col customWidth="1" min="2" max="5" width="31.38"/>
    <col customWidth="1" min="6" max="6" width="16.75"/>
    <col customWidth="1" min="7" max="7" width="11.13"/>
    <col customWidth="1" min="8" max="8" width="18.0"/>
    <col customWidth="1" min="9" max="9" width="23.0"/>
  </cols>
  <sheetData>
    <row r="1">
      <c r="A1" s="1"/>
      <c r="B1" s="2"/>
      <c r="C1" s="4" t="s">
        <v>102</v>
      </c>
      <c r="D1" s="2"/>
      <c r="E1" s="2"/>
      <c r="F1" s="2"/>
      <c r="G1" s="5" t="s">
        <v>2</v>
      </c>
      <c r="H1" s="2"/>
      <c r="I1" s="3"/>
    </row>
    <row r="2">
      <c r="A2" s="7"/>
      <c r="C2" s="7"/>
      <c r="G2" s="9" t="s">
        <v>3</v>
      </c>
      <c r="I2" s="8"/>
    </row>
    <row r="3">
      <c r="A3" s="11"/>
      <c r="B3" s="12"/>
      <c r="C3" s="7"/>
      <c r="G3" s="15" t="s">
        <v>4</v>
      </c>
      <c r="H3" s="12"/>
      <c r="I3" s="13"/>
    </row>
    <row r="4">
      <c r="A4" s="16" t="s">
        <v>5</v>
      </c>
      <c r="B4" s="17"/>
      <c r="C4" s="17"/>
      <c r="D4" s="17"/>
      <c r="E4" s="17"/>
      <c r="F4" s="17"/>
      <c r="G4" s="16" t="s">
        <v>6</v>
      </c>
      <c r="H4" s="17"/>
      <c r="I4" s="18"/>
    </row>
    <row r="5">
      <c r="A5" s="23"/>
      <c r="B5" s="25"/>
      <c r="C5" s="23"/>
      <c r="D5" s="27"/>
      <c r="E5" s="27"/>
      <c r="F5" s="27"/>
      <c r="G5" s="23"/>
      <c r="H5" s="23"/>
      <c r="I5" s="23"/>
    </row>
    <row r="6">
      <c r="A6" s="31" t="s">
        <v>12</v>
      </c>
      <c r="B6" s="32"/>
      <c r="C6" s="35"/>
      <c r="D6" s="37"/>
      <c r="E6" s="37"/>
      <c r="F6" s="37"/>
      <c r="G6" s="35"/>
      <c r="H6" s="35"/>
      <c r="I6" s="35"/>
    </row>
    <row r="7">
      <c r="A7" s="41" t="s">
        <v>20</v>
      </c>
      <c r="B7" s="29" t="s">
        <v>23</v>
      </c>
      <c r="C7" s="26" t="s">
        <v>25</v>
      </c>
      <c r="D7" s="26" t="s">
        <v>26</v>
      </c>
      <c r="E7" s="26" t="s">
        <v>28</v>
      </c>
      <c r="F7" s="26" t="s">
        <v>29</v>
      </c>
      <c r="G7" s="46" t="s">
        <v>32</v>
      </c>
      <c r="H7" s="46" t="s">
        <v>33</v>
      </c>
      <c r="I7" s="46" t="s">
        <v>34</v>
      </c>
    </row>
    <row r="8">
      <c r="A8" s="90">
        <v>1.0</v>
      </c>
      <c r="B8" s="74" t="str">
        <f>IFERROR(__xludf.DUMMYFUNCTION("GOOGLETRANSLATE(D8, ""vi"", ""ja"")"),"【チケットタイトル】各チケットタイトルには、識別やフィルタリングを容易にするための接頭辞が必要です。
（Pherusaを使用していないプロジェクトに適用されます）")</f>
        <v>【チケットタイトル】各チケットタイトルには、識別やフィルタリングを容易にするための接頭辞が必要です。
（Pherusaを使用していないプロジェクトに適用されます）</v>
      </c>
      <c r="C8" s="74" t="str">
        <f>IFERROR(__xludf.DUMMYFUNCTION("GOOGLETRANSLATE(E8, ""vi"", ""ja"")"),"プレフィックスの規則例：
- エピックのチケットの場合：
[エピックID] [エピック名] タイトル...
- ユーザーストーリーのチケットの場合：
[エピックID] [ユーザーストーリー名] タイトル...
- 対応するユーザーストーリーの開発タスクまたはQAタスクのチケットの場合：
[ユーザーストーリーID] [xxタスク] タイトル...
xxタスクは、開発タスク、QAタスク、調査タスク、インフラストラクチャタスクなどです。
- バグチケットの場合：
[ユーザーストーリーID] [xxバグ] タイ"&amp;"トル...
xxバグは、UTバグ、ITバグ、STバグ、UATバグ、本番バグなどです。")</f>
        <v>プレフィックスの規則例：
- エピックのチケットの場合：
[エピックID] [エピック名] タイトル...
- ユーザーストーリーのチケットの場合：
[エピックID] [ユーザーストーリー名] タイトル...
- 対応するユーザーストーリーの開発タスクまたはQAタスクのチケットの場合：
[ユーザーストーリーID] [xxタスク] タイトル...
xxタスクは、開発タスク、QAタスク、調査タスク、インフラストラクチャタスクなどです。
- バグチケットの場合：
[ユーザーストーリーID] [xxバグ] タイトル...
xxバグは、UTバグ、ITバグ、STバグ、UATバグ、本番バグなどです。</v>
      </c>
      <c r="D8" s="74" t="s">
        <v>118</v>
      </c>
      <c r="E8" s="74" t="s">
        <v>119</v>
      </c>
      <c r="F8" s="56" t="s">
        <v>53</v>
      </c>
      <c r="G8" s="66"/>
      <c r="H8" s="66"/>
      <c r="I8" s="66"/>
    </row>
    <row r="9">
      <c r="A9" s="90">
        <f t="shared" ref="A9:A12" si="1">A8+1</f>
        <v>2</v>
      </c>
      <c r="B9" s="74" t="str">
        <f>IFERROR(__xludf.DUMMYFUNCTION("GOOGLETRANSLATE(D9, ""vi"", ""ja"")"),"[PRタイトル] 各PRのタイトルには、識別やフィルタリングを容易にするための接頭辞が必要です。")</f>
        <v>[PRタイトル] 各PRのタイトルには、識別やフィルタリングを容易にするための接頭辞が必要です。</v>
      </c>
      <c r="C9" s="74" t="str">
        <f>IFERROR(__xludf.DUMMYFUNCTION("GOOGLETRANSLATE(E9, ""vi"", ""ja"")"),"接頭辞の慣例：
- 新規ユーザーストーリーを作成する場合：
[ユーザーストーリーID] [開発] タイトル
- 既存のユーザーストーリーを保守する場合：
[ユーザーストーリーID] [保守] タイトル
- バグを修正する場合：
[バグID] タイトル")</f>
        <v>接頭辞の慣例：
- 新規ユーザーストーリーを作成する場合：
[ユーザーストーリーID] [開発] タイトル
- 既存のユーザーストーリーを保守する場合：
[ユーザーストーリーID] [保守] タイトル
- バグを修正する場合：
[バグID] タイトル</v>
      </c>
      <c r="D9" s="74" t="s">
        <v>124</v>
      </c>
      <c r="E9" s="74" t="s">
        <v>125</v>
      </c>
      <c r="F9" s="56" t="s">
        <v>53</v>
      </c>
      <c r="G9" s="66"/>
      <c r="H9" s="100"/>
      <c r="I9" s="100"/>
    </row>
    <row r="10">
      <c r="A10" s="90">
        <f t="shared" si="1"/>
        <v>3</v>
      </c>
      <c r="B10" s="88"/>
      <c r="C10" s="88"/>
      <c r="D10" s="88"/>
      <c r="E10" s="88"/>
      <c r="F10" s="56"/>
      <c r="G10" s="66"/>
      <c r="H10" s="101"/>
      <c r="I10" s="101"/>
    </row>
    <row r="11">
      <c r="A11" s="90">
        <f t="shared" si="1"/>
        <v>4</v>
      </c>
      <c r="B11" s="88"/>
      <c r="C11" s="88"/>
      <c r="D11" s="88"/>
      <c r="E11" s="88"/>
      <c r="F11" s="56"/>
      <c r="G11" s="66"/>
      <c r="H11" s="101"/>
      <c r="I11" s="101"/>
    </row>
    <row r="12">
      <c r="A12" s="90">
        <f t="shared" si="1"/>
        <v>5</v>
      </c>
      <c r="B12" s="88"/>
      <c r="C12" s="88"/>
      <c r="D12" s="88"/>
      <c r="E12" s="88"/>
      <c r="F12" s="56"/>
      <c r="G12" s="66"/>
      <c r="H12" s="101"/>
      <c r="I12" s="101"/>
    </row>
  </sheetData>
  <mergeCells count="7">
    <mergeCell ref="A1:B3"/>
    <mergeCell ref="C1:F3"/>
    <mergeCell ref="G1:I1"/>
    <mergeCell ref="G2:I2"/>
    <mergeCell ref="G3:I3"/>
    <mergeCell ref="A4:F4"/>
    <mergeCell ref="G4:I4"/>
  </mergeCells>
  <dataValidations>
    <dataValidation type="list" allowBlank="1" showErrorMessage="1" sqref="F8:F12">
      <formula1>Appendix!$F$4:$F$6</formula1>
    </dataValidation>
    <dataValidation type="list" allowBlank="1" showErrorMessage="1" sqref="G8:G12">
      <formula1>Appendix!$D$4:$D$5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4.25"/>
    <col customWidth="1" min="2" max="5" width="31.38"/>
    <col customWidth="1" min="6" max="6" width="16.75"/>
    <col customWidth="1" min="7" max="7" width="11.13"/>
    <col customWidth="1" min="8" max="8" width="12.38"/>
    <col customWidth="1" min="9" max="9" width="23.63"/>
  </cols>
  <sheetData>
    <row r="1">
      <c r="A1" s="1"/>
      <c r="B1" s="2"/>
      <c r="C1" s="4" t="s">
        <v>103</v>
      </c>
      <c r="D1" s="2"/>
      <c r="E1" s="2"/>
      <c r="F1" s="2"/>
      <c r="G1" s="5" t="s">
        <v>2</v>
      </c>
      <c r="H1" s="3"/>
      <c r="I1" s="85"/>
    </row>
    <row r="2">
      <c r="A2" s="7"/>
      <c r="C2" s="7"/>
      <c r="G2" s="9" t="s">
        <v>3</v>
      </c>
      <c r="H2" s="8"/>
      <c r="I2" s="86"/>
    </row>
    <row r="3">
      <c r="A3" s="11"/>
      <c r="B3" s="12"/>
      <c r="C3" s="7"/>
      <c r="G3" s="15" t="s">
        <v>4</v>
      </c>
      <c r="H3" s="13"/>
      <c r="I3" s="87"/>
    </row>
    <row r="4">
      <c r="A4" s="16" t="s">
        <v>5</v>
      </c>
      <c r="B4" s="17"/>
      <c r="C4" s="17"/>
      <c r="D4" s="17"/>
      <c r="E4" s="17"/>
      <c r="F4" s="17"/>
      <c r="G4" s="16" t="s">
        <v>6</v>
      </c>
      <c r="H4" s="18"/>
      <c r="I4" s="89"/>
    </row>
    <row r="5">
      <c r="A5" s="91"/>
      <c r="B5" s="92"/>
      <c r="C5" s="91"/>
      <c r="D5" s="93"/>
      <c r="E5" s="93"/>
      <c r="F5" s="93"/>
      <c r="G5" s="91"/>
      <c r="H5" s="91"/>
      <c r="I5" s="91"/>
    </row>
    <row r="6">
      <c r="A6" s="94" t="s">
        <v>12</v>
      </c>
      <c r="B6" s="95"/>
      <c r="C6" s="96"/>
      <c r="D6" s="97"/>
      <c r="E6" s="97"/>
      <c r="F6" s="97"/>
      <c r="G6" s="96"/>
      <c r="H6" s="96"/>
      <c r="I6" s="96"/>
    </row>
    <row r="7">
      <c r="A7" s="41" t="s">
        <v>20</v>
      </c>
      <c r="B7" s="29" t="s">
        <v>23</v>
      </c>
      <c r="C7" s="26" t="s">
        <v>25</v>
      </c>
      <c r="D7" s="26" t="s">
        <v>26</v>
      </c>
      <c r="E7" s="26" t="s">
        <v>28</v>
      </c>
      <c r="F7" s="26" t="s">
        <v>71</v>
      </c>
      <c r="G7" s="46" t="s">
        <v>32</v>
      </c>
      <c r="H7" s="46" t="s">
        <v>33</v>
      </c>
      <c r="I7" s="46" t="s">
        <v>34</v>
      </c>
    </row>
    <row r="8">
      <c r="A8" s="98">
        <v>1.0</v>
      </c>
      <c r="B8" s="99" t="s">
        <v>126</v>
      </c>
      <c r="C8" s="99" t="s">
        <v>129</v>
      </c>
      <c r="D8" s="99" t="s">
        <v>130</v>
      </c>
      <c r="E8" s="99" t="s">
        <v>131</v>
      </c>
      <c r="F8" s="102" t="s">
        <v>53</v>
      </c>
      <c r="G8" s="103"/>
      <c r="H8" s="103"/>
      <c r="I8" s="103"/>
    </row>
    <row r="9">
      <c r="A9" s="98">
        <v>2.0</v>
      </c>
      <c r="B9" s="99" t="s">
        <v>133</v>
      </c>
      <c r="C9" s="99" t="s">
        <v>134</v>
      </c>
      <c r="D9" s="99" t="s">
        <v>135</v>
      </c>
      <c r="E9" s="99" t="s">
        <v>136</v>
      </c>
      <c r="F9" s="102" t="s">
        <v>53</v>
      </c>
      <c r="G9" s="103"/>
      <c r="H9" s="103"/>
      <c r="I9" s="103"/>
    </row>
    <row r="10">
      <c r="A10" s="98">
        <v>3.0</v>
      </c>
      <c r="B10" s="99" t="s">
        <v>137</v>
      </c>
      <c r="C10" s="99" t="s">
        <v>138</v>
      </c>
      <c r="D10" s="99" t="s">
        <v>139</v>
      </c>
      <c r="E10" s="99" t="s">
        <v>141</v>
      </c>
      <c r="F10" s="102" t="s">
        <v>53</v>
      </c>
      <c r="G10" s="103"/>
      <c r="H10" s="103"/>
      <c r="I10" s="103"/>
    </row>
    <row r="11">
      <c r="A11" s="98">
        <v>4.0</v>
      </c>
      <c r="B11" s="99" t="s">
        <v>142</v>
      </c>
      <c r="C11" s="99" t="s">
        <v>143</v>
      </c>
      <c r="D11" s="99" t="s">
        <v>144</v>
      </c>
      <c r="E11" s="99" t="s">
        <v>145</v>
      </c>
      <c r="F11" s="102" t="s">
        <v>53</v>
      </c>
      <c r="G11" s="103"/>
      <c r="H11" s="103"/>
      <c r="I11" s="103"/>
    </row>
    <row r="12">
      <c r="A12" s="98">
        <v>5.0</v>
      </c>
      <c r="B12" s="99" t="s">
        <v>147</v>
      </c>
      <c r="C12" s="99" t="s">
        <v>148</v>
      </c>
      <c r="D12" s="99" t="s">
        <v>149</v>
      </c>
      <c r="E12" s="99" t="s">
        <v>150</v>
      </c>
      <c r="F12" s="102" t="s">
        <v>53</v>
      </c>
      <c r="G12" s="103"/>
      <c r="H12" s="103"/>
      <c r="I12" s="104"/>
    </row>
    <row r="13">
      <c r="A13" s="98">
        <v>6.0</v>
      </c>
      <c r="B13" s="99" t="s">
        <v>153</v>
      </c>
      <c r="C13" s="99" t="s">
        <v>154</v>
      </c>
      <c r="D13" s="99" t="s">
        <v>155</v>
      </c>
      <c r="E13" s="99" t="s">
        <v>156</v>
      </c>
      <c r="F13" s="102" t="s">
        <v>53</v>
      </c>
      <c r="G13" s="103"/>
      <c r="H13" s="103"/>
      <c r="I13" s="103"/>
    </row>
    <row r="14">
      <c r="A14" s="98">
        <v>7.0</v>
      </c>
      <c r="B14" s="99" t="s">
        <v>157</v>
      </c>
      <c r="C14" s="99" t="s">
        <v>158</v>
      </c>
      <c r="D14" s="99" t="s">
        <v>159</v>
      </c>
      <c r="E14" s="99" t="s">
        <v>161</v>
      </c>
      <c r="F14" s="102" t="s">
        <v>53</v>
      </c>
      <c r="G14" s="103"/>
      <c r="H14" s="103"/>
      <c r="I14" s="104"/>
    </row>
    <row r="15">
      <c r="A15" s="106">
        <v>8.0</v>
      </c>
      <c r="B15" s="99" t="s">
        <v>163</v>
      </c>
      <c r="C15" s="99" t="s">
        <v>164</v>
      </c>
      <c r="D15" s="107" t="s">
        <v>165</v>
      </c>
      <c r="E15" s="108" t="s">
        <v>179</v>
      </c>
      <c r="F15" s="108" t="s">
        <v>53</v>
      </c>
      <c r="G15" s="109"/>
      <c r="H15" s="109"/>
      <c r="I15" s="99"/>
    </row>
    <row r="16">
      <c r="A16" s="106">
        <v>9.0</v>
      </c>
      <c r="B16" s="99" t="s">
        <v>183</v>
      </c>
      <c r="C16" s="99" t="s">
        <v>186</v>
      </c>
      <c r="D16" s="108" t="s">
        <v>188</v>
      </c>
      <c r="E16" s="108" t="s">
        <v>189</v>
      </c>
      <c r="F16" s="108" t="s">
        <v>53</v>
      </c>
      <c r="G16" s="109"/>
      <c r="H16" s="109"/>
      <c r="I16" s="99"/>
    </row>
    <row r="17">
      <c r="A17" s="110"/>
      <c r="B17" s="99" t="s">
        <v>194</v>
      </c>
      <c r="C17" s="99" t="s">
        <v>195</v>
      </c>
      <c r="D17" s="108" t="s">
        <v>196</v>
      </c>
      <c r="E17" s="108" t="s">
        <v>197</v>
      </c>
      <c r="F17" s="108" t="s">
        <v>198</v>
      </c>
      <c r="G17" s="111"/>
      <c r="H17" s="111"/>
      <c r="I17" s="108"/>
    </row>
    <row r="18">
      <c r="A18" s="106">
        <v>10.0</v>
      </c>
      <c r="B18" s="99" t="s">
        <v>201</v>
      </c>
      <c r="C18" s="99" t="s">
        <v>202</v>
      </c>
      <c r="D18" s="108" t="s">
        <v>203</v>
      </c>
      <c r="E18" s="108" t="s">
        <v>204</v>
      </c>
      <c r="F18" s="113" t="s">
        <v>53</v>
      </c>
      <c r="G18" s="109"/>
      <c r="H18" s="109"/>
      <c r="I18" s="99"/>
    </row>
    <row r="19">
      <c r="A19" s="106">
        <v>11.0</v>
      </c>
      <c r="B19" s="116" t="s">
        <v>207</v>
      </c>
      <c r="C19" s="99" t="s">
        <v>215</v>
      </c>
      <c r="D19" s="107" t="s">
        <v>216</v>
      </c>
      <c r="E19" s="108" t="s">
        <v>220</v>
      </c>
      <c r="F19" s="113" t="s">
        <v>53</v>
      </c>
      <c r="G19" s="109"/>
      <c r="H19" s="109"/>
      <c r="I19" s="99"/>
    </row>
  </sheetData>
  <mergeCells count="7">
    <mergeCell ref="A1:B3"/>
    <mergeCell ref="C1:F3"/>
    <mergeCell ref="G1:H1"/>
    <mergeCell ref="G2:H2"/>
    <mergeCell ref="G3:H3"/>
    <mergeCell ref="A4:F4"/>
    <mergeCell ref="G4:H4"/>
  </mergeCells>
  <dataValidations>
    <dataValidation type="list" allowBlank="1" showErrorMessage="1" sqref="F8:F19">
      <formula1>Appendix!$F$4:$F$6</formula1>
    </dataValidation>
    <dataValidation type="list" allowBlank="1" showErrorMessage="1" sqref="G8:G19">
      <formula1>Appendix!$D$4:$D$5</formula1>
    </dataValidation>
  </dataValidations>
  <hyperlinks>
    <hyperlink r:id="rId1" location="gid=120251775" ref="D15"/>
    <hyperlink r:id="rId2" location="gid=337056376" ref="B19"/>
    <hyperlink r:id="rId3" location="gid=337056376" ref="D19"/>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4.25"/>
    <col customWidth="1" min="2" max="5" width="31.38"/>
    <col customWidth="1" min="6" max="6" width="16.75"/>
    <col customWidth="1" min="7" max="7" width="11.13"/>
    <col customWidth="1" min="8" max="8" width="13.5"/>
    <col customWidth="1" min="9" max="9" width="24.38"/>
  </cols>
  <sheetData>
    <row r="1">
      <c r="A1" s="1"/>
      <c r="B1" s="2"/>
      <c r="C1" s="4" t="s">
        <v>132</v>
      </c>
      <c r="D1" s="2"/>
      <c r="E1" s="2"/>
      <c r="F1" s="2"/>
      <c r="G1" s="5" t="s">
        <v>2</v>
      </c>
      <c r="H1" s="2"/>
      <c r="I1" s="3"/>
    </row>
    <row r="2">
      <c r="A2" s="7"/>
      <c r="C2" s="7"/>
      <c r="G2" s="9" t="s">
        <v>3</v>
      </c>
      <c r="I2" s="8"/>
    </row>
    <row r="3">
      <c r="A3" s="11"/>
      <c r="B3" s="12"/>
      <c r="C3" s="7"/>
      <c r="G3" s="15" t="s">
        <v>4</v>
      </c>
      <c r="H3" s="12"/>
      <c r="I3" s="13"/>
    </row>
    <row r="4">
      <c r="A4" s="16" t="s">
        <v>5</v>
      </c>
      <c r="B4" s="17"/>
      <c r="C4" s="17"/>
      <c r="D4" s="17"/>
      <c r="E4" s="17"/>
      <c r="F4" s="17"/>
      <c r="G4" s="16" t="s">
        <v>6</v>
      </c>
      <c r="H4" s="17"/>
      <c r="I4" s="18"/>
    </row>
    <row r="5">
      <c r="A5" s="23"/>
      <c r="B5" s="25"/>
      <c r="C5" s="23"/>
      <c r="D5" s="27"/>
      <c r="E5" s="27"/>
      <c r="F5" s="27"/>
      <c r="G5" s="23"/>
      <c r="H5" s="23"/>
      <c r="I5" s="23"/>
    </row>
    <row r="6">
      <c r="A6" s="31" t="s">
        <v>12</v>
      </c>
      <c r="B6" s="32"/>
      <c r="C6" s="35"/>
      <c r="D6" s="37"/>
      <c r="E6" s="37"/>
      <c r="F6" s="37"/>
      <c r="G6" s="35"/>
      <c r="H6" s="35"/>
      <c r="I6" s="35"/>
    </row>
    <row r="7">
      <c r="A7" s="41" t="s">
        <v>20</v>
      </c>
      <c r="B7" s="29" t="s">
        <v>23</v>
      </c>
      <c r="C7" s="26" t="s">
        <v>25</v>
      </c>
      <c r="D7" s="26" t="s">
        <v>26</v>
      </c>
      <c r="E7" s="26" t="s">
        <v>28</v>
      </c>
      <c r="F7" s="26" t="s">
        <v>29</v>
      </c>
      <c r="G7" s="46" t="s">
        <v>32</v>
      </c>
      <c r="H7" s="46" t="s">
        <v>33</v>
      </c>
      <c r="I7" s="46" t="s">
        <v>34</v>
      </c>
    </row>
    <row r="8">
      <c r="A8" s="49">
        <v>1.0</v>
      </c>
      <c r="B8" s="74" t="str">
        <f>IFERROR(__xludf.DUMMYFUNCTION("GOOGLETRANSLATE(D8, ""vi"", ""ja"")"),"【コーディング規約】TypeScriptにおけるデータ型に関するコード安全ガイドライン")</f>
        <v>【コーディング規約】TypeScriptにおけるデータ型に関するコード安全ガイドライン</v>
      </c>
      <c r="C8" s="74" t="str">
        <f>IFERROR(__xludf.DUMMYFUNCTION("GOOGLETRANSLATE(E8, ""vi"", ""ja"")"),"`any`のような未定義のデータ型は使用しないでください。
どうしても使用する必要がある場合は、その理由を説明する`eslint`コメントを追加してください。")</f>
        <v>`any`のような未定義のデータ型は使用しないでください。
どうしても使用する必要がある場合は、その理由を説明する`eslint`コメントを追加してください。</v>
      </c>
      <c r="D8" s="74" t="s">
        <v>151</v>
      </c>
      <c r="E8" s="74" t="s">
        <v>152</v>
      </c>
      <c r="F8" s="56" t="s">
        <v>53</v>
      </c>
      <c r="G8" s="66"/>
      <c r="H8" s="66"/>
      <c r="I8" s="66"/>
    </row>
    <row r="9">
      <c r="A9" s="49">
        <f t="shared" ref="A9:A26" si="1">A8+1</f>
        <v>2</v>
      </c>
      <c r="B9" s="74" t="str">
        <f>IFERROR(__xludf.DUMMYFUNCTION("GOOGLETRANSLATE(D9, ""vi"", ""ja"")"),"【コーディング規約】VS Codeと拡張機能の設定はコーディング規約への準拠をサポートしています")</f>
        <v>【コーディング規約】VS Codeと拡張機能の設定はコーディング規約への準拠をサポートしています</v>
      </c>
      <c r="C9" s="74" t="str">
        <f>IFERROR(__xludf.DUMMYFUNCTION("GOOGLETRANSLATE(E9, ""vi"", ""ja"")"),"クライアントは非常に厳しいルールを設定することが多いため、コードフォーマット関連の拡張機能をインストールすることをお勧めします。拡張機能をインストールすることで、より詳細な制御が可能になり、コーディング中にエラーを検出できるようになります。
推奨拡張機能：VS Code 用 ESLint、Prettier、EditorConfig")</f>
        <v>クライアントは非常に厳しいルールを設定することが多いため、コードフォーマット関連の拡張機能をインストールすることをお勧めします。拡張機能をインストールすることで、より詳細な制御が可能になり、コーディング中にエラーを検出できるようになります。
推奨拡張機能：VS Code 用 ESLint、Prettier、EditorConfig</v>
      </c>
      <c r="D9" s="74" t="s">
        <v>166</v>
      </c>
      <c r="E9" s="74" t="s">
        <v>167</v>
      </c>
      <c r="F9" s="56" t="s">
        <v>53</v>
      </c>
      <c r="G9" s="66"/>
      <c r="H9" s="66"/>
      <c r="I9" s="66"/>
    </row>
    <row r="10">
      <c r="A10" s="49">
        <f t="shared" si="1"/>
        <v>3</v>
      </c>
      <c r="B10" s="74" t="str">
        <f>IFERROR(__xludf.DUMMYFUNCTION("GOOGLETRANSLATE(D10, ""vi"", ""ja"")"),"【コーディング標準】コード文書化標準")</f>
        <v>【コーディング標準】コード文書化標準</v>
      </c>
      <c r="C10" s="74" t="str">
        <f>IFERROR(__xludf.DUMMYFUNCTION("GOOGLETRANSLATE(E10, ""vi"", ""ja"")"),"JSDocコメントは、クライアントのESLintルールに従って追加する必要があります。
関数を表すJSDocコメントは、動詞で始めなければなりません。")</f>
        <v>JSDocコメントは、クライアントのESLintルールに従って追加する必要があります。
関数を表すJSDocコメントは、動詞で始めなければなりません。</v>
      </c>
      <c r="D10" s="74" t="s">
        <v>172</v>
      </c>
      <c r="E10" s="74" t="s">
        <v>173</v>
      </c>
      <c r="F10" s="56" t="s">
        <v>53</v>
      </c>
      <c r="G10" s="66"/>
      <c r="H10" s="66"/>
      <c r="I10" s="66"/>
    </row>
    <row r="11">
      <c r="A11" s="49">
        <f t="shared" si="1"/>
        <v>4</v>
      </c>
      <c r="B11" s="74" t="str">
        <f>IFERROR(__xludf.DUMMYFUNCTION("GOOGLETRANSLATE(D11, ""vi"", ""ja"")"),"【コーディング規約】HTTPエラー処理")</f>
        <v>【コーディング規約】HTTPエラー処理</v>
      </c>
      <c r="C11" s="74" t="str">
        <f>IFERROR(__xludf.DUMMYFUNCTION("GOOGLETRANSLATE(E11, ""vi"", ""ja"")"),"エラー422の場合、メッセージの内容に対して`JSON.stringfy`を使用することが必須です。これは、このエラーが検証に関連するものであり、メッセージがオブジェクトである可能性があるためです。
エラー422を返す文字列メッセージの場合でも、一貫性を保つためにこの関数は必要です。")</f>
        <v>エラー422の場合、メッセージの内容に対して`JSON.stringfy`を使用することが必須です。これは、このエラーが検証に関連するものであり、メッセージがオブジェクトである可能性があるためです。
エラー422を返す文字列メッセージの場合でも、一貫性を保つためにこの関数は必要です。</v>
      </c>
      <c r="D11" s="74" t="s">
        <v>176</v>
      </c>
      <c r="E11" s="74" t="s">
        <v>177</v>
      </c>
      <c r="F11" s="56" t="s">
        <v>53</v>
      </c>
      <c r="G11" s="66"/>
      <c r="H11" s="66"/>
      <c r="I11" s="66"/>
    </row>
    <row r="12">
      <c r="A12" s="49">
        <f t="shared" si="1"/>
        <v>5</v>
      </c>
      <c r="B12" s="74" t="str">
        <f>IFERROR(__xludf.DUMMYFUNCTION("GOOGLETRANSLATE(D12, ""vi"", ""ja"")"),"【コーディング標準】API開発標準")</f>
        <v>【コーディング標準】API開発標準</v>
      </c>
      <c r="C12" s="74" t="str">
        <f>IFERROR(__xludf.DUMMYFUNCTION("GOOGLETRANSLATE(E12, ""vi"", ""ja"")"),"POST/PUT APIの場合、スキーマ検証とリクエストボディを検証するための単体テストを作成することが必須です。")</f>
        <v>POST/PUT APIの場合、スキーマ検証とリクエストボディを検証するための単体テストを作成することが必須です。</v>
      </c>
      <c r="D12" s="74" t="s">
        <v>178</v>
      </c>
      <c r="E12" s="74" t="s">
        <v>180</v>
      </c>
      <c r="F12" s="56" t="s">
        <v>53</v>
      </c>
      <c r="G12" s="66"/>
      <c r="H12" s="66"/>
      <c r="I12" s="66"/>
    </row>
    <row r="13">
      <c r="A13" s="49">
        <f t="shared" si="1"/>
        <v>6</v>
      </c>
      <c r="B13" s="74" t="str">
        <f>IFERROR(__xludf.DUMMYFUNCTION("GOOGLETRANSLATE(D13, ""vi"", ""ja"")"),"【コーディング規約】ORM（TypeORM）使用時のファイル移行の管理と制御")</f>
        <v>【コーディング規約】ORM（TypeORM）使用時のファイル移行の管理と制御</v>
      </c>
      <c r="C13" s="74" t="str">
        <f>IFERROR(__xludf.DUMMYFUNCTION("GOOGLETRANSLATE(E13, ""vi"", ""ja"")"),"- マイグレーションファイルは、アップロード機能とダウンロード機能の両方が正しく動作することを保証する必要があります。
- ファイルの内容に注意してください。データ損失を防ぐために、一部のコマンドを修正する必要がある場合があります（マイグレーションファイルはTypeORMによって自動生成されるため、必ず確認が必要です）。
例えば、列の変更には`drop`と`add`の代わりに`change`と`modify`を使用できます。")</f>
        <v>- マイグレーションファイルは、アップロード機能とダウンロード機能の両方が正しく動作することを保証する必要があります。
- ファイルの内容に注意してください。データ損失を防ぐために、一部のコマンドを修正する必要がある場合があります（マイグレーションファイルはTypeORMによって自動生成されるため、必ず確認が必要です）。
例えば、列の変更には`drop`と`add`の代わりに`change`と`modify`を使用できます。</v>
      </c>
      <c r="D13" s="74" t="s">
        <v>185</v>
      </c>
      <c r="E13" s="74" t="s">
        <v>187</v>
      </c>
      <c r="F13" s="56" t="s">
        <v>53</v>
      </c>
      <c r="G13" s="66"/>
      <c r="H13" s="66"/>
      <c r="I13" s="66"/>
    </row>
    <row r="14">
      <c r="A14" s="49">
        <f t="shared" si="1"/>
        <v>7</v>
      </c>
      <c r="B14" s="74" t="str">
        <f>IFERROR(__xludf.DUMMYFUNCTION("GOOGLETRANSLATE(D14, ""vi"", ""ja"")"),"[コーディング標準] データベースサービスを記述するための規約: クラスを使用する場合と使用しない場合。")</f>
        <v>[コーディング標準] データベースサービスを記述するための規約: クラスを使用する場合と使用しない場合。</v>
      </c>
      <c r="C14" s="74" t="str">
        <f>IFERROR(__xludf.DUMMYFUNCTION("GOOGLETRANSLATE(E14, ""vi"", ""ja"")"),"- 作成、更新、削除など、データベースと直接やり取りするサービスについては、トランザクションを必要とし、クラス内に必ず配置する必要がある関数のみをクラス内に記述し、それ以外の関数はクラス外に記述する必要があります。")</f>
        <v>- 作成、更新、削除など、データベースと直接やり取りするサービスについては、トランザクションを必要とし、クラス内に必ず配置する必要がある関数のみをクラス内に記述し、それ以外の関数はクラス外に記述する必要があります。</v>
      </c>
      <c r="D14" s="74" t="s">
        <v>192</v>
      </c>
      <c r="E14" s="74" t="s">
        <v>193</v>
      </c>
      <c r="F14" s="56" t="s">
        <v>53</v>
      </c>
      <c r="G14" s="66"/>
      <c r="H14" s="66"/>
      <c r="I14" s="66"/>
    </row>
    <row r="15">
      <c r="A15" s="49">
        <f t="shared" si="1"/>
        <v>8</v>
      </c>
      <c r="B15" s="74" t="str">
        <f>IFERROR(__xludf.DUMMYFUNCTION("GOOGLETRANSLATE(D15, ""vi"", ""ja"")"),"【コーディング標準】レビューしやすいように、関数を「子から親へ」の順に並べます。")</f>
        <v>【コーディング標準】レビューしやすいように、関数を「子から親へ」の順に並べます。</v>
      </c>
      <c r="C15" s="74" t="str">
        <f>IFERROR(__xludf.DUMMYFUNCTION("GOOGLETRANSLATE(E15, ""vi"", ""ja"")"),"機能を確認しやすく、スクロールの手間を省くため、子関数から親関数へと順番に並べます。例えば、AがBを呼び出し、CがDを呼び出す場合、順序はB→A→D→Cとなります。")</f>
        <v>機能を確認しやすく、スクロールの手間を省くため、子関数から親関数へと順番に並べます。例えば、AがBを呼び出し、CがDを呼び出す場合、順序はB→A→D→Cとなります。</v>
      </c>
      <c r="D15" s="112" t="s">
        <v>199</v>
      </c>
      <c r="E15" s="74" t="s">
        <v>200</v>
      </c>
      <c r="F15" s="56" t="s">
        <v>53</v>
      </c>
      <c r="G15" s="66"/>
      <c r="H15" s="66"/>
      <c r="I15" s="66"/>
    </row>
    <row r="16">
      <c r="A16" s="49">
        <f t="shared" si="1"/>
        <v>9</v>
      </c>
      <c r="B16" s="74" t="str">
        <f>IFERROR(__xludf.DUMMYFUNCTION("GOOGLETRANSLATE(D16, ""vi"", ""ja"")"),"[PR] PRを作成する際は、タイトルと説明文を英語で完全に記述してください。")</f>
        <v>[PR] PRを作成する際は、タイトルと説明文を英語で完全に記述してください。</v>
      </c>
      <c r="C16" s="74" t="str">
        <f>IFERROR(__xludf.DUMMYFUNCTION("GOOGLETRANSLATE(E16, ""vi"", ""ja"")"),"広報コンテンツを投稿する際は、チームメンバーや顧客が理解しやすいように、英語で完全な説明とタイトルを記載する必要があります。")</f>
        <v>広報コンテンツを投稿する際は、チームメンバーや顧客が理解しやすいように、英語で完全な説明とタイトルを記載する必要があります。</v>
      </c>
      <c r="D16" s="74" t="s">
        <v>205</v>
      </c>
      <c r="E16" s="74" t="s">
        <v>206</v>
      </c>
      <c r="F16" s="56" t="s">
        <v>53</v>
      </c>
      <c r="G16" s="66"/>
      <c r="H16" s="66"/>
      <c r="I16" s="66"/>
    </row>
    <row r="17">
      <c r="A17" s="49">
        <f t="shared" si="1"/>
        <v>10</v>
      </c>
      <c r="B17" s="74" t="str">
        <f>IFERROR(__xludf.DUMMYFUNCTION("GOOGLETRANSLATE(D17, ""vi"", ""ja"")"),"[PR] PRでは、以下のセクションへの記入が必要です：内容、品質保証、参照")</f>
        <v>[PR] PRでは、以下のセクションへの記入が必要です：内容、品質保証、参照</v>
      </c>
      <c r="C17" s="74" t="str">
        <f>IFERROR(__xludf.DUMMYFUNCTION("GOOGLETRANSLATE(E17, ""vi"", ""ja"")"),"以下の項目は必ず入力してください：内容、QA、参照。
（QAとは、APIへのping、画面上でのテスト実行、ユニットテストなど、テスト方法そのものを指します。QAチームへの影響に関するメモではありません。QAセクションには、スクリーンショット、GIF、または動画を含めてください。）")</f>
        <v>以下の項目は必ず入力してください：内容、QA、参照。
（QAとは、APIへのping、画面上でのテスト実行、ユニットテストなど、テスト方法そのものを指します。QAチームへの影響に関するメモではありません。QAセクションには、スクリーンショット、GIF、または動画を含めてください。）</v>
      </c>
      <c r="D17" s="74" t="s">
        <v>208</v>
      </c>
      <c r="E17" s="74" t="s">
        <v>209</v>
      </c>
      <c r="F17" s="56" t="s">
        <v>53</v>
      </c>
      <c r="G17" s="66"/>
      <c r="H17" s="66"/>
      <c r="I17" s="66"/>
    </row>
    <row r="18">
      <c r="A18" s="49">
        <f t="shared" si="1"/>
        <v>11</v>
      </c>
      <c r="B18" s="74" t="str">
        <f>IFERROR(__xludf.DUMMYFUNCTION("GOOGLETRANSLATE(D18, ""vi"", ""ja"")"),"[PR] PRがまだフロントエンドPRに依存している場合は、「マージしない」というラベルを付けます。")</f>
        <v>[PR] PRがまだフロントエンドPRに依存している場合は、「マージしない」というラベルを付けます。</v>
      </c>
      <c r="C18" s="74" t="str">
        <f>IFERROR(__xludf.DUMMYFUNCTION("GOOGLETRANSLATE(E18, ""vi"", ""ja"")"),"PRがプッシュされたものの、FEのPRも待つ必要がある場合は、「マージしない」というラベルが付けられます。")</f>
        <v>PRがプッシュされたものの、FEのPRも待つ必要がある場合は、「マージしない」というラベルが付けられます。</v>
      </c>
      <c r="D18" s="74" t="s">
        <v>210</v>
      </c>
      <c r="E18" s="74" t="s">
        <v>211</v>
      </c>
      <c r="F18" s="56" t="s">
        <v>53</v>
      </c>
      <c r="G18" s="66"/>
      <c r="H18" s="66"/>
      <c r="I18" s="66"/>
    </row>
    <row r="19">
      <c r="A19" s="49">
        <f t="shared" si="1"/>
        <v>12</v>
      </c>
      <c r="B19" s="74" t="str">
        <f>IFERROR(__xludf.DUMMYFUNCTION("GOOGLETRANSLATE(D19, ""vi"", ""ja"")"),"[GitHub] GitHubの通知をオンにして、顧客レビューを追跡しましょう")</f>
        <v>[GitHub] GitHubの通知をオンにして、顧客レビューを追跡しましょう</v>
      </c>
      <c r="C19" s="74" t="str">
        <f>IFERROR(__xludf.DUMMYFUNCTION("GOOGLETRANSLATE(E19, ""vi"", ""ja"")"),"顧客はGitHubでのみレビューを行い、Slackでは通知を受け取らなくなるため、GitHubの通知を有効にする必要があります。")</f>
        <v>顧客はGitHubでのみレビューを行い、Slackでは通知を受け取らなくなるため、GitHubの通知を有効にする必要があります。</v>
      </c>
      <c r="D19" s="74" t="s">
        <v>212</v>
      </c>
      <c r="E19" s="74" t="s">
        <v>213</v>
      </c>
      <c r="F19" s="56" t="s">
        <v>53</v>
      </c>
      <c r="G19" s="66"/>
      <c r="H19" s="66"/>
      <c r="I19" s="66"/>
    </row>
    <row r="20">
      <c r="A20" s="49">
        <f t="shared" si="1"/>
        <v>13</v>
      </c>
      <c r="B20" s="74" t="str">
        <f>IFERROR(__xludf.DUMMYFUNCTION("GOOGLETRANSLATE(D20, ""vi"", ""ja"")"),"[Github] Daily Push Code")</f>
        <v>[Github] Daily Push Code</v>
      </c>
      <c r="C20" s="74" t="str">
        <f>IFERROR(__xludf.DUMMYFUNCTION("GOOGLETRANSLATE(E20, ""vi"", ""ja"")"),"進捗状況の同期を確保し、データ損失を防ぐため、各メンバーは毎日午前4時30分までに自分のコードを個人のブランチにアップロードする必要があります。")</f>
        <v>進捗状況の同期を確保し、データ損失を防ぐため、各メンバーは毎日午前4時30分までに自分のコードを個人のブランチにアップロードする必要があります。</v>
      </c>
      <c r="D20" s="74" t="s">
        <v>217</v>
      </c>
      <c r="E20" s="74" t="s">
        <v>219</v>
      </c>
      <c r="F20" s="56" t="s">
        <v>53</v>
      </c>
      <c r="G20" s="66"/>
      <c r="H20" s="66"/>
      <c r="I20" s="66"/>
    </row>
    <row r="21">
      <c r="A21" s="49">
        <f t="shared" si="1"/>
        <v>14</v>
      </c>
      <c r="B21" s="74" t="str">
        <f>IFERROR(__xludf.DUMMYFUNCTION("GOOGLETRANSLATE(D21, ""vi"", ""ja"")"),"[Github] 各画面の処理が完了したら、メインブランチにマージしてください。")</f>
        <v>[Github] 各画面の処理が完了したら、メインブランチにマージしてください。</v>
      </c>
      <c r="C21" s="74" t="str">
        <f>IFERROR(__xludf.DUMMYFUNCTION("GOOGLETRANSLATE(E21, ""vi"", ""ja"")"),"画面が完成したら（他のメンバーとリーダーがレビューできる程度に）、メンバーはコードをメインブランチにマージする必要があります。")</f>
        <v>画面が完成したら（他のメンバーとリーダーがレビューできる程度に）、メンバーはコードをメインブランチにマージする必要があります。</v>
      </c>
      <c r="D21" s="74" t="s">
        <v>221</v>
      </c>
      <c r="E21" s="74" t="s">
        <v>222</v>
      </c>
      <c r="F21" s="56" t="s">
        <v>53</v>
      </c>
      <c r="G21" s="66"/>
      <c r="H21" s="66"/>
      <c r="I21" s="66"/>
    </row>
    <row r="22">
      <c r="A22" s="49">
        <f t="shared" si="1"/>
        <v>15</v>
      </c>
      <c r="B22" s="74" t="str">
        <f>IFERROR(__xludf.DUMMYFUNCTION("GOOGLETRANSLATE(D22, ""vi"", ""ja"")"),"[Github] マージ前に競合解決が必須です。")</f>
        <v>[Github] マージ前に競合解決が必須です。</v>
      </c>
      <c r="C22" s="74" t="str">
        <f>IFERROR(__xludf.DUMMYFUNCTION("GOOGLETRANSLATE(E22, ""vi"", ""ja"")"),"マージリクエスト（プルリクエスト）を送信する前に、メインブランチのコードを最新バージョンに更新し、競合がないか確認して解決することが必須です。")</f>
        <v>マージリクエスト（プルリクエスト）を送信する前に、メインブランチのコードを最新バージョンに更新し、競合がないか確認して解決することが必須です。</v>
      </c>
      <c r="D22" s="74" t="s">
        <v>224</v>
      </c>
      <c r="E22" s="74" t="s">
        <v>225</v>
      </c>
      <c r="F22" s="56" t="s">
        <v>53</v>
      </c>
      <c r="G22" s="66"/>
      <c r="H22" s="66"/>
      <c r="I22" s="66"/>
    </row>
    <row r="23">
      <c r="A23" s="49">
        <f t="shared" si="1"/>
        <v>16</v>
      </c>
      <c r="B23" s="74" t="str">
        <f>IFERROR(__xludf.DUMMYFUNCTION("GOOGLETRANSLATE(D23, ""vi"", ""ja"")"),"[GitHub] GitHub運営規約")</f>
        <v>[GitHub] GitHub運営規約</v>
      </c>
      <c r="C23" s="74" t="str">
        <f>IFERROR(__xludf.DUMMYFUNCTION("GOOGLETRANSLATE(E23, ""vi"", ""ja"")"),"- リーダーのみがメインブランチへのコードのマージを許可されています。
- 各プルリクエストは、マージされる前に少なくとも2人の承認を得る必要があります。
- 1回のプルで複数のコミットを許可します（コードレビュー時の便宜のため）。
- コードのリベース以外では、強制プッシュ（push -f）を使用しないでください。")</f>
        <v>- リーダーのみがメインブランチへのコードのマージを許可されています。
- 各プルリクエストは、マージされる前に少なくとも2人の承認を得る必要があります。
- 1回のプルで複数のコミットを許可します（コードレビュー時の便宜のため）。
- コードのリベース以外では、強制プッシュ（push -f）を使用しないでください。</v>
      </c>
      <c r="D23" s="74" t="s">
        <v>227</v>
      </c>
      <c r="E23" s="118" t="s">
        <v>228</v>
      </c>
      <c r="F23" s="56" t="s">
        <v>53</v>
      </c>
      <c r="G23" s="66"/>
      <c r="H23" s="66"/>
      <c r="I23" s="66"/>
    </row>
    <row r="24">
      <c r="A24" s="49">
        <f t="shared" si="1"/>
        <v>17</v>
      </c>
      <c r="B24" s="74" t="str">
        <f>IFERROR(__xludf.DUMMYFUNCTION("GOOGLETRANSLATE(D24, ""vi"", ""ja"")"),"[UT] プロジェクトにおける必須ユニットテスト規則")</f>
        <v>[UT] プロジェクトにおける必須ユニットテスト規則</v>
      </c>
      <c r="C24" s="74" t="str">
        <f>IFERROR(__xludf.DUMMYFUNCTION("GOOGLETRANSLATE(E24, ""vi"", ""ja"")"),"以下の項目については、ユニットテストの作成が必須です。
- *.schema.ts ファイル内のファイルと関数（入力検証関連）
- ヘルパーファイルと関数
- 特定の特殊API")</f>
        <v>以下の項目については、ユニットテストの作成が必須です。
- *.schema.ts ファイル内のファイルと関数（入力検証関連）
- ヘルパーファイルと関数
- 特定の特殊API</v>
      </c>
      <c r="D24" s="74" t="s">
        <v>229</v>
      </c>
      <c r="E24" s="74" t="s">
        <v>230</v>
      </c>
      <c r="F24" s="56" t="s">
        <v>53</v>
      </c>
      <c r="G24" s="66"/>
      <c r="H24" s="66"/>
      <c r="I24" s="66"/>
    </row>
    <row r="25">
      <c r="A25" s="49">
        <f t="shared" si="1"/>
        <v>18</v>
      </c>
      <c r="B25" s="74" t="str">
        <f>IFERROR(__xludf.DUMMYFUNCTION("GOOGLETRANSLATE(D25, ""vi"", ""ja"")"),"[UT] 単体テストファイルの整理と命名に関する規則")</f>
        <v>[UT] 単体テストファイルの整理と命名に関する規則</v>
      </c>
      <c r="C25" s="74" t="str">
        <f>IFERROR(__xludf.DUMMYFUNCTION("GOOGLETRANSLATE(E25, ""vi"", ""ja"")"),"テストファイルは元のファイルと同じディレクトリに配置され、ファイル名は「*.test.ts」の形式になります。
例：Store.schema.ts =&gt; Store.schema.test.ts、checkOrderByValid.ts =&gt; checkOrderByValid.test.ts")</f>
        <v>テストファイルは元のファイルと同じディレクトリに配置され、ファイル名は「*.test.ts」の形式になります。
例：Store.schema.ts =&gt; Store.schema.test.ts、checkOrderByValid.ts =&gt; checkOrderByValid.test.ts</v>
      </c>
      <c r="D25" s="74" t="s">
        <v>231</v>
      </c>
      <c r="E25" s="74" t="s">
        <v>232</v>
      </c>
      <c r="F25" s="56" t="s">
        <v>53</v>
      </c>
      <c r="G25" s="66"/>
      <c r="H25" s="66"/>
      <c r="I25" s="66"/>
    </row>
    <row r="26">
      <c r="A26" s="49">
        <f t="shared" si="1"/>
        <v>19</v>
      </c>
      <c r="B26" s="74" t="str">
        <f>IFERROR(__xludf.DUMMYFUNCTION("GOOGLETRANSLATE(D26, ""vi"", ""ja"")"),"[UT] 1つまたは複数の特定のファイルに対してテストを実行します。")</f>
        <v>[UT] 1つまたは複数の特定のファイルに対してテストを実行します。</v>
      </c>
      <c r="C26" s="74" t="str">
        <f>IFERROR(__xludf.DUMMYFUNCTION("GOOGLETRANSLATE(E26, ""vi"", ""ja"")"),"ディレクトリ全体ではなく、1つ（または複数）のテストファイルを実行するには、次のコマンドを実行します。
`yarn test-this:jest path_to_file.ts`")</f>
        <v>ディレクトリ全体ではなく、1つ（または複数）のテストファイルを実行するには、次のコマンドを実行します。
`yarn test-this:jest path_to_file.ts`</v>
      </c>
      <c r="D26" s="74" t="s">
        <v>233</v>
      </c>
      <c r="E26" s="74" t="s">
        <v>234</v>
      </c>
      <c r="F26" s="56" t="s">
        <v>53</v>
      </c>
      <c r="G26" s="66"/>
      <c r="H26" s="66"/>
      <c r="I26" s="66"/>
    </row>
    <row r="27">
      <c r="A27" s="49"/>
      <c r="B27" s="74"/>
      <c r="C27" s="74"/>
      <c r="D27" s="74"/>
      <c r="E27" s="74"/>
      <c r="F27" s="56"/>
      <c r="G27" s="66"/>
      <c r="H27" s="66"/>
      <c r="I27" s="66"/>
    </row>
    <row r="28">
      <c r="A28" s="49"/>
      <c r="B28" s="74"/>
      <c r="C28" s="74"/>
      <c r="D28" s="74"/>
      <c r="E28" s="74"/>
      <c r="F28" s="56"/>
      <c r="G28" s="66"/>
      <c r="H28" s="66"/>
      <c r="I28" s="66"/>
    </row>
  </sheetData>
  <mergeCells count="7">
    <mergeCell ref="A1:B3"/>
    <mergeCell ref="C1:F3"/>
    <mergeCell ref="G1:I1"/>
    <mergeCell ref="G2:I2"/>
    <mergeCell ref="G3:I3"/>
    <mergeCell ref="A4:F4"/>
    <mergeCell ref="G4:I4"/>
  </mergeCells>
  <dataValidations>
    <dataValidation type="list" allowBlank="1" showErrorMessage="1" sqref="F8:F28">
      <formula1>Appendix!$F$4:$F$6</formula1>
    </dataValidation>
    <dataValidation type="list" allowBlank="1" showErrorMessage="1" sqref="G8:G28">
      <formula1>Appendix!$D$4:$D$5</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4.25"/>
    <col customWidth="1" min="2" max="5" width="31.38"/>
    <col customWidth="1" min="6" max="6" width="16.75"/>
    <col customWidth="1" min="7" max="7" width="11.13"/>
    <col customWidth="1" min="8" max="8" width="14.0"/>
    <col customWidth="1" min="9" max="9" width="23.25"/>
  </cols>
  <sheetData>
    <row r="1">
      <c r="A1" s="1"/>
      <c r="B1" s="2"/>
      <c r="C1" s="4" t="s">
        <v>140</v>
      </c>
      <c r="D1" s="2"/>
      <c r="E1" s="2"/>
      <c r="F1" s="2"/>
      <c r="G1" s="5" t="s">
        <v>2</v>
      </c>
      <c r="H1" s="2"/>
      <c r="I1" s="3"/>
    </row>
    <row r="2">
      <c r="A2" s="7"/>
      <c r="C2" s="7"/>
      <c r="G2" s="9" t="s">
        <v>3</v>
      </c>
      <c r="I2" s="8"/>
    </row>
    <row r="3">
      <c r="A3" s="11"/>
      <c r="B3" s="12"/>
      <c r="C3" s="7"/>
      <c r="G3" s="15" t="s">
        <v>4</v>
      </c>
      <c r="H3" s="12"/>
      <c r="I3" s="13"/>
    </row>
    <row r="4">
      <c r="A4" s="16" t="s">
        <v>5</v>
      </c>
      <c r="B4" s="17"/>
      <c r="C4" s="17"/>
      <c r="D4" s="17"/>
      <c r="E4" s="17"/>
      <c r="F4" s="17"/>
      <c r="G4" s="16" t="s">
        <v>6</v>
      </c>
      <c r="H4" s="17"/>
      <c r="I4" s="18"/>
    </row>
    <row r="5">
      <c r="A5" s="23"/>
      <c r="B5" s="25"/>
      <c r="C5" s="23"/>
      <c r="D5" s="27"/>
      <c r="E5" s="27"/>
      <c r="F5" s="27"/>
      <c r="G5" s="23"/>
      <c r="H5" s="23"/>
      <c r="I5" s="23"/>
    </row>
    <row r="6">
      <c r="A6" s="31" t="s">
        <v>12</v>
      </c>
      <c r="B6" s="32"/>
      <c r="C6" s="35"/>
      <c r="D6" s="37"/>
      <c r="E6" s="37"/>
      <c r="F6" s="37"/>
      <c r="G6" s="35"/>
      <c r="H6" s="35"/>
      <c r="I6" s="35"/>
    </row>
    <row r="7">
      <c r="A7" s="41" t="s">
        <v>20</v>
      </c>
      <c r="B7" s="29" t="s">
        <v>23</v>
      </c>
      <c r="C7" s="26" t="s">
        <v>25</v>
      </c>
      <c r="D7" s="26" t="s">
        <v>26</v>
      </c>
      <c r="E7" s="26" t="s">
        <v>28</v>
      </c>
      <c r="F7" s="26" t="s">
        <v>29</v>
      </c>
      <c r="G7" s="46" t="s">
        <v>32</v>
      </c>
      <c r="H7" s="46" t="s">
        <v>33</v>
      </c>
      <c r="I7" s="46" t="s">
        <v>34</v>
      </c>
    </row>
    <row r="8">
      <c r="A8" s="105">
        <v>1.0</v>
      </c>
      <c r="B8" s="74" t="str">
        <f>IFERROR(__xludf.DUMMYFUNCTION("GOOGLETRANSLATE(D8,""vi"",""ja"")"),"【進捗報告】テストケースの作成および/または実行に関する日々の進捗報告を、午後5時までにPherusaの該当チケットに提出してください。")</f>
        <v>【進捗報告】テストケースの作成および/または実行に関する日々の進捗報告を、午後5時までにPherusaの該当チケットに提出してください。</v>
      </c>
      <c r="C8" s="74" t="str">
        <f>IFERROR(__xludf.DUMMYFUNCTION("GOOGLETRANSLATE(E8,""vi"",""ja"")"),"テストケースの作成および/または実行に関する日々の進捗状況を、午後5時までにPherusaの該当チケットに報告してください。
1. テストケース数
2. 費やした時間
3. 残りの予想時間")</f>
        <v>テストケースの作成および/または実行に関する日々の進捗状況を、午後5時までにPherusaの該当チケットに報告してください。
1. テストケース数
2. 費やした時間
3. 残りの予想時間</v>
      </c>
      <c r="D8" s="74" t="s">
        <v>160</v>
      </c>
      <c r="E8" s="74" t="s">
        <v>162</v>
      </c>
      <c r="F8" s="56" t="s">
        <v>53</v>
      </c>
      <c r="G8" s="66"/>
      <c r="H8" s="66"/>
      <c r="I8" s="66"/>
    </row>
    <row r="9">
      <c r="A9" s="105">
        <v>2.0</v>
      </c>
      <c r="B9" s="74" t="str">
        <f>IFERROR(__xludf.DUMMYFUNCTION("GOOGLETRANSLATE(D9,""vi"",""ja"")"),"[バグログ] Phenusa の QA テスト中に発見されたバグの毎日のログ。")</f>
        <v>[バグログ] Phenusa の QA テスト中に発見されたバグの毎日のログ。</v>
      </c>
      <c r="C9" s="74" t="str">
        <f>IFERROR(__xludf.DUMMYFUNCTION("GOOGLETRANSLATE(E9,""vi"",""ja"")"),"PherusaのQAテスト中に発見されたバグを毎日ログに記録してください。
1. 命名規則に従ってバグをログに記録してください。
2. ログに記録したバグの数を開発リーダーに報告してください。
3. その日にログに記録したバグの数をPSMに毎日報告してください。")</f>
        <v>PherusaのQAテスト中に発見されたバグを毎日ログに記録してください。
1. 命名規則に従ってバグをログに記録してください。
2. ログに記録したバグの数を開発リーダーに報告してください。
3. その日にログに記録したバグの数をPSMに毎日報告してください。</v>
      </c>
      <c r="D9" s="74" t="s">
        <v>168</v>
      </c>
      <c r="E9" s="74" t="s">
        <v>169</v>
      </c>
      <c r="F9" s="56" t="s">
        <v>53</v>
      </c>
      <c r="G9" s="66"/>
      <c r="H9" s="66"/>
      <c r="I9" s="66"/>
    </row>
    <row r="10">
      <c r="A10" s="105">
        <v>3.0</v>
      </c>
      <c r="B10" s="74" t="str">
        <f>IFERROR(__xludf.DUMMYFUNCTION("GOOGLETRANSLATE(D10,""vi"",""ja"")"),"【再テスト】プロジェクト内で基本的なバグ再テストプロセスを完全に実行します。")</f>
        <v>【再テスト】プロジェクト内で基本的なバグ再テストプロセスを完全に実行します。</v>
      </c>
      <c r="C10" s="74" t="str">
        <f>IFERROR(__xludf.DUMMYFUNCTION("GOOGLETRANSLATE(E10,""vi"",""ja"")"),"プロジェクトにおいて、基本的なバグ再テストプロセス全体を実装します。
1. 開発者が入力したバグの影響範囲を、経験と過去のデータに基づいて正確性と網羅性を判断し、確認します。
2. ステップ1で確認した影響範囲を網羅する回帰テストケースを作成します。
3. テストを実行し、バグが修正されていること、および影響範囲に新たなバグが追加されていないことを確認します。
- バグが修正されていない場合 → バグを再オープンします。
- バグが修正されている場合 → 解決済みとします。
4. 結果を開発リーダ"&amp;"ーとPSMに報告します。")</f>
        <v>プロジェクトにおいて、基本的なバグ再テストプロセス全体を実装します。
1. 開発者が入力したバグの影響範囲を、経験と過去のデータに基づいて正確性と網羅性を判断し、確認します。
2. ステップ1で確認した影響範囲を網羅する回帰テストケースを作成します。
3. テストを実行し、バグが修正されていること、および影響範囲に新たなバグが追加されていないことを確認します。
- バグが修正されていない場合 → バグを再オープンします。
- バグが修正されている場合 → 解決済みとします。
4. 結果を開発リーダーとPSMに報告します。</v>
      </c>
      <c r="D10" s="74" t="s">
        <v>174</v>
      </c>
      <c r="E10" s="74" t="s">
        <v>175</v>
      </c>
      <c r="F10" s="56" t="s">
        <v>53</v>
      </c>
      <c r="G10" s="66"/>
      <c r="H10" s="66"/>
      <c r="I10" s="66"/>
    </row>
    <row r="11">
      <c r="A11" s="105"/>
      <c r="B11" s="74"/>
      <c r="C11" s="74"/>
      <c r="D11" s="74"/>
      <c r="E11" s="74"/>
      <c r="F11" s="56"/>
      <c r="G11" s="66"/>
      <c r="H11" s="66"/>
      <c r="I11" s="66"/>
    </row>
    <row r="12">
      <c r="A12" s="105"/>
      <c r="B12" s="74"/>
      <c r="C12" s="74"/>
      <c r="D12" s="74"/>
      <c r="E12" s="74"/>
      <c r="F12" s="56"/>
      <c r="G12" s="66"/>
      <c r="H12" s="66"/>
      <c r="I12" s="66"/>
    </row>
  </sheetData>
  <mergeCells count="7">
    <mergeCell ref="A1:B3"/>
    <mergeCell ref="C1:F3"/>
    <mergeCell ref="G1:I1"/>
    <mergeCell ref="G2:I2"/>
    <mergeCell ref="G3:I3"/>
    <mergeCell ref="A4:F4"/>
    <mergeCell ref="G4:I4"/>
  </mergeCells>
  <dataValidations>
    <dataValidation type="list" allowBlank="1" showErrorMessage="1" sqref="F8:F12">
      <formula1>Appendix!$F$4:$F$6</formula1>
    </dataValidation>
    <dataValidation type="list" allowBlank="1" showErrorMessage="1" sqref="G8:G12">
      <formula1>Appendix!$D$4:$D$5</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4.25"/>
    <col customWidth="1" min="2" max="5" width="31.38"/>
    <col customWidth="1" min="6" max="6" width="16.75"/>
    <col customWidth="1" min="7" max="7" width="11.13"/>
    <col customWidth="1" min="8" max="8" width="13.25"/>
    <col customWidth="1" min="9" max="9" width="24.88"/>
  </cols>
  <sheetData>
    <row r="1">
      <c r="A1" s="1"/>
      <c r="B1" s="2"/>
      <c r="C1" s="4" t="s">
        <v>146</v>
      </c>
      <c r="D1" s="2"/>
      <c r="E1" s="2"/>
      <c r="F1" s="2"/>
      <c r="G1" s="5" t="s">
        <v>2</v>
      </c>
      <c r="H1" s="2"/>
      <c r="I1" s="3"/>
    </row>
    <row r="2">
      <c r="A2" s="7"/>
      <c r="C2" s="7"/>
      <c r="G2" s="9" t="s">
        <v>3</v>
      </c>
      <c r="I2" s="8"/>
    </row>
    <row r="3">
      <c r="A3" s="11"/>
      <c r="B3" s="12"/>
      <c r="C3" s="7"/>
      <c r="G3" s="15" t="s">
        <v>4</v>
      </c>
      <c r="H3" s="12"/>
      <c r="I3" s="13"/>
    </row>
    <row r="4">
      <c r="A4" s="16" t="s">
        <v>5</v>
      </c>
      <c r="B4" s="17"/>
      <c r="C4" s="17"/>
      <c r="D4" s="17"/>
      <c r="E4" s="17"/>
      <c r="F4" s="17"/>
      <c r="G4" s="16" t="s">
        <v>6</v>
      </c>
      <c r="H4" s="17"/>
      <c r="I4" s="18"/>
    </row>
    <row r="5">
      <c r="A5" s="23"/>
      <c r="B5" s="25"/>
      <c r="C5" s="23"/>
      <c r="D5" s="27"/>
      <c r="E5" s="27"/>
      <c r="F5" s="27"/>
      <c r="G5" s="23"/>
      <c r="H5" s="23"/>
      <c r="I5" s="23"/>
    </row>
    <row r="6">
      <c r="A6" s="31" t="s">
        <v>12</v>
      </c>
      <c r="B6" s="32"/>
      <c r="C6" s="35"/>
      <c r="D6" s="37"/>
      <c r="E6" s="37"/>
      <c r="F6" s="37"/>
      <c r="G6" s="35"/>
      <c r="H6" s="35"/>
      <c r="I6" s="35"/>
    </row>
    <row r="7">
      <c r="A7" s="41" t="s">
        <v>20</v>
      </c>
      <c r="B7" s="29" t="s">
        <v>23</v>
      </c>
      <c r="C7" s="26" t="s">
        <v>25</v>
      </c>
      <c r="D7" s="26" t="s">
        <v>26</v>
      </c>
      <c r="E7" s="26" t="s">
        <v>28</v>
      </c>
      <c r="F7" s="26" t="s">
        <v>29</v>
      </c>
      <c r="G7" s="46" t="s">
        <v>32</v>
      </c>
      <c r="H7" s="46" t="s">
        <v>33</v>
      </c>
      <c r="I7" s="46" t="s">
        <v>34</v>
      </c>
    </row>
    <row r="8">
      <c r="A8" s="49">
        <v>1.0</v>
      </c>
      <c r="B8" s="74" t="str">
        <f>IFERROR(__xludf.DUMMYFUNCTION("GOOGLETRANSLATE(D8,""vi"",""ja"")"),"【本番環境における運用】ステージング環境／本番環境、またはAPIにおいて許可されている操作についてご確認ください。特に、メールアドレスや個人情報の取り扱いについてご確認ください。")</f>
        <v>【本番環境における運用】ステージング環境／本番環境、またはAPIにおいて許可されている操作についてご確認ください。特に、メールアドレスや個人情報の取り扱いについてご確認ください。</v>
      </c>
      <c r="C8" s="74" t="str">
        <f>IFERROR(__xludf.DUMMYFUNCTION("GOOGLETRANSLATE(E8,""vi"",""ja"")"),"メールアドレス、個人情報、またはPRD（個人識別データ）に関するデータは極めて重要です。これらの情報が漏洩すると、重大な事故につながる可能性があります。中には、企業の倒産に至った事例もあります。したがって、これらの情報には特に注意を払ってください。")</f>
        <v>メールアドレス、個人情報、またはPRD（個人識別データ）に関するデータは極めて重要です。これらの情報が漏洩すると、重大な事故につながる可能性があります。中には、企業の倒産に至った事例もあります。したがって、これらの情報には特に注意を払ってください。</v>
      </c>
      <c r="D8" s="74" t="s">
        <v>170</v>
      </c>
      <c r="E8" s="74" t="s">
        <v>171</v>
      </c>
      <c r="F8" s="56" t="s">
        <v>53</v>
      </c>
      <c r="G8" s="66"/>
      <c r="H8" s="66"/>
      <c r="I8" s="66"/>
    </row>
    <row r="9">
      <c r="A9" s="49">
        <v>2.0</v>
      </c>
      <c r="B9" s="74" t="str">
        <f>IFERROR(__xludf.DUMMYFUNCTION("GOOGLETRANSLATE(D9,""vi"",""ja"")"),"【本番環境での作業】本番環境を使用する前に、クライアントに確認し、承認を得てください。")</f>
        <v>【本番環境での作業】本番環境を使用する前に、クライアントに確認し、承認を得てください。</v>
      </c>
      <c r="C9" s="74" t="str">
        <f>IFERROR(__xludf.DUMMYFUNCTION("GOOGLETRANSLATE(E9,""vi"",""ja"")"),"提供されたアカウントはクライアントから本番環境へのログインを許可されていますが、ログイン前に許可と承認を得る必要があります。許可に必要な情報は以下のとおりです。
1. ユーザー名
2. ログイン目的
3. ログイン日時
4. ログインするたびに、許可なく本番データを変更、削除、または改変しないことの誓約
5. クライアントの指示に基づき、データ変更、ソフトウェアアップグレードなどを行うためにログインする場合は、事前にリリース操作手順に従い、クライアントの書面による承認を得る必要があります。")</f>
        <v>提供されたアカウントはクライアントから本番環境へのログインを許可されていますが、ログイン前に許可と承認を得る必要があります。許可に必要な情報は以下のとおりです。
1. ユーザー名
2. ログイン目的
3. ログイン日時
4. ログインするたびに、許可なく本番データを変更、削除、または改変しないことの誓約
5. クライアントの指示に基づき、データ変更、ソフトウェアアップグレードなどを行うためにログインする場合は、事前にリリース操作手順に従い、クライアントの書面による承認を得る必要があります。</v>
      </c>
      <c r="D9" s="74" t="s">
        <v>181</v>
      </c>
      <c r="E9" s="74" t="s">
        <v>182</v>
      </c>
      <c r="F9" s="56" t="s">
        <v>53</v>
      </c>
      <c r="G9" s="66"/>
      <c r="H9" s="66"/>
      <c r="I9" s="66"/>
    </row>
    <row r="10">
      <c r="A10" s="49">
        <v>3.0</v>
      </c>
      <c r="B10" s="74" t="str">
        <f>IFERROR(__xludf.DUMMYFUNCTION("GOOGLETRANSLATE(D10,""vi"",""ja"")"),"【生産アラート】各プロジェクトメンバーのマシンに生産アラート拡張機能をインストールしてください。")</f>
        <v>【生産アラート】各プロジェクトメンバーのマシンに生産アラート拡張機能をインストールしてください。</v>
      </c>
      <c r="C10" s="74" t="str">
        <f>IFERROR(__xludf.DUMMYFUNCTION("GOOGLETRANSLATE(E10,""vi"",""ja"")"),"1. 各チームメンバーのコンピューターにプロダクションアラート拡張機能をインストールしてください。
2. プロダクションアラートのポップアップが表示された場合、実行する操作はすべて本番環境の要件に準拠する必要があります。すべての操作は、慎重かつ十分な検討の上、クライアントの承認を得て実行してください。")</f>
        <v>1. 各チームメンバーのコンピューターにプロダクションアラート拡張機能をインストールしてください。
2. プロダクションアラートのポップアップが表示された場合、実行する操作はすべて本番環境の要件に準拠する必要があります。すべての操作は、慎重かつ十分な検討の上、クライアントの承認を得て実行してください。</v>
      </c>
      <c r="D10" s="74" t="s">
        <v>190</v>
      </c>
      <c r="E10" s="74" t="s">
        <v>191</v>
      </c>
      <c r="F10" s="56" t="s">
        <v>53</v>
      </c>
      <c r="G10" s="66"/>
      <c r="H10" s="66"/>
      <c r="I10" s="66"/>
    </row>
    <row r="11">
      <c r="A11" s="49"/>
      <c r="B11" s="74"/>
      <c r="C11" s="74"/>
      <c r="D11" s="74"/>
      <c r="E11" s="74"/>
      <c r="F11" s="56"/>
      <c r="G11" s="66"/>
      <c r="H11" s="66"/>
      <c r="I11" s="66"/>
    </row>
    <row r="12">
      <c r="A12" s="49"/>
      <c r="B12" s="74"/>
      <c r="C12" s="74"/>
      <c r="D12" s="74"/>
      <c r="E12" s="74"/>
      <c r="F12" s="56"/>
      <c r="G12" s="66"/>
      <c r="H12" s="66"/>
      <c r="I12" s="66"/>
    </row>
  </sheetData>
  <mergeCells count="7">
    <mergeCell ref="A1:B3"/>
    <mergeCell ref="C1:F3"/>
    <mergeCell ref="G1:I1"/>
    <mergeCell ref="G2:I2"/>
    <mergeCell ref="G3:I3"/>
    <mergeCell ref="A4:F4"/>
    <mergeCell ref="G4:I4"/>
  </mergeCells>
  <dataValidations>
    <dataValidation type="list" allowBlank="1" showErrorMessage="1" sqref="F8:F12">
      <formula1>Appendix!$F$4:$F$6</formula1>
    </dataValidation>
    <dataValidation type="list" allowBlank="1" showErrorMessage="1" sqref="G8:G12">
      <formula1>Appendix!$D$4:$D$5</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184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s>
  <sheetData>
    <row r="1">
      <c r="A1" s="114"/>
      <c r="B1" s="35"/>
      <c r="C1" s="114"/>
      <c r="D1" s="114"/>
      <c r="E1" s="114"/>
      <c r="F1" s="114"/>
      <c r="G1" s="114"/>
      <c r="H1" s="114"/>
      <c r="I1" s="114"/>
      <c r="J1" s="114"/>
      <c r="K1" s="114"/>
      <c r="L1" s="114"/>
      <c r="M1" s="114"/>
      <c r="N1" s="114"/>
      <c r="O1" s="114"/>
      <c r="P1" s="114"/>
      <c r="Q1" s="114"/>
      <c r="R1" s="114"/>
      <c r="S1" s="114"/>
      <c r="T1" s="114"/>
      <c r="U1" s="114"/>
      <c r="V1" s="114"/>
      <c r="W1" s="114"/>
      <c r="X1" s="114"/>
      <c r="Y1" s="114"/>
      <c r="Z1" s="114"/>
    </row>
    <row r="2">
      <c r="A2" s="114"/>
      <c r="B2" s="35"/>
      <c r="C2" s="114"/>
      <c r="D2" s="114"/>
      <c r="E2" s="114"/>
      <c r="F2" s="114"/>
      <c r="G2" s="114"/>
      <c r="H2" s="114"/>
      <c r="I2" s="114"/>
      <c r="J2" s="114"/>
      <c r="K2" s="114"/>
      <c r="L2" s="114"/>
      <c r="M2" s="114"/>
      <c r="N2" s="114"/>
      <c r="O2" s="114"/>
      <c r="P2" s="114"/>
      <c r="Q2" s="114"/>
      <c r="R2" s="114"/>
      <c r="S2" s="114"/>
      <c r="T2" s="114"/>
      <c r="U2" s="114"/>
      <c r="V2" s="114"/>
      <c r="W2" s="114"/>
      <c r="X2" s="114"/>
      <c r="Y2" s="114"/>
      <c r="Z2" s="114"/>
    </row>
    <row r="3">
      <c r="A3" s="114"/>
      <c r="B3" s="32" t="s">
        <v>17</v>
      </c>
      <c r="C3" s="114"/>
      <c r="D3" s="115" t="s">
        <v>32</v>
      </c>
      <c r="E3" s="114"/>
      <c r="F3" s="115" t="s">
        <v>214</v>
      </c>
      <c r="G3" s="114"/>
      <c r="H3" s="114"/>
      <c r="I3" s="114"/>
      <c r="J3" s="114"/>
      <c r="K3" s="114"/>
      <c r="L3" s="114"/>
      <c r="M3" s="114"/>
      <c r="N3" s="114"/>
      <c r="O3" s="114"/>
      <c r="P3" s="114"/>
      <c r="Q3" s="114"/>
      <c r="R3" s="114"/>
      <c r="S3" s="114"/>
      <c r="T3" s="114"/>
      <c r="U3" s="114"/>
      <c r="V3" s="114"/>
      <c r="W3" s="114"/>
      <c r="X3" s="114"/>
      <c r="Y3" s="114"/>
      <c r="Z3" s="114"/>
    </row>
    <row r="4">
      <c r="A4" s="114"/>
      <c r="B4" s="32" t="s">
        <v>49</v>
      </c>
      <c r="C4" s="114"/>
      <c r="D4" s="115" t="s">
        <v>218</v>
      </c>
      <c r="E4" s="114"/>
      <c r="F4" s="117" t="s">
        <v>53</v>
      </c>
      <c r="G4" s="117"/>
      <c r="H4" s="114"/>
      <c r="I4" s="114"/>
      <c r="J4" s="114"/>
      <c r="K4" s="114"/>
      <c r="L4" s="114"/>
      <c r="M4" s="114"/>
      <c r="N4" s="114"/>
      <c r="O4" s="114"/>
      <c r="P4" s="114"/>
      <c r="Q4" s="114"/>
      <c r="R4" s="114"/>
      <c r="S4" s="114"/>
      <c r="T4" s="114"/>
      <c r="U4" s="114"/>
      <c r="V4" s="114"/>
      <c r="W4" s="114"/>
      <c r="X4" s="114"/>
      <c r="Y4" s="114"/>
      <c r="Z4" s="114"/>
    </row>
    <row r="5">
      <c r="A5" s="114"/>
      <c r="B5" s="32" t="s">
        <v>64</v>
      </c>
      <c r="C5" s="114"/>
      <c r="D5" s="115" t="s">
        <v>20</v>
      </c>
      <c r="E5" s="114"/>
      <c r="F5" s="117" t="s">
        <v>198</v>
      </c>
      <c r="G5" s="117"/>
      <c r="H5" s="114"/>
      <c r="I5" s="114"/>
      <c r="J5" s="114"/>
      <c r="K5" s="114"/>
      <c r="L5" s="114"/>
      <c r="M5" s="114"/>
      <c r="N5" s="114"/>
      <c r="O5" s="114"/>
      <c r="P5" s="114"/>
      <c r="Q5" s="114"/>
      <c r="R5" s="114"/>
      <c r="S5" s="114"/>
      <c r="T5" s="114"/>
      <c r="U5" s="114"/>
      <c r="V5" s="114"/>
      <c r="W5" s="114"/>
      <c r="X5" s="114"/>
      <c r="Y5" s="114"/>
      <c r="Z5" s="114"/>
    </row>
    <row r="6">
      <c r="A6" s="114"/>
      <c r="B6" s="32" t="s">
        <v>81</v>
      </c>
      <c r="C6" s="114"/>
      <c r="D6" s="114"/>
      <c r="E6" s="114"/>
      <c r="F6" s="117" t="s">
        <v>223</v>
      </c>
      <c r="G6" s="117"/>
      <c r="H6" s="114"/>
      <c r="I6" s="114"/>
      <c r="J6" s="114"/>
      <c r="K6" s="114"/>
      <c r="L6" s="114"/>
      <c r="M6" s="114"/>
      <c r="N6" s="114"/>
      <c r="O6" s="114"/>
      <c r="P6" s="114"/>
      <c r="Q6" s="114"/>
      <c r="R6" s="114"/>
      <c r="S6" s="114"/>
      <c r="T6" s="114"/>
      <c r="U6" s="114"/>
      <c r="V6" s="114"/>
      <c r="W6" s="114"/>
      <c r="X6" s="114"/>
      <c r="Y6" s="114"/>
      <c r="Z6" s="114"/>
    </row>
    <row r="7">
      <c r="A7" s="114"/>
      <c r="B7" s="32" t="s">
        <v>87</v>
      </c>
      <c r="C7" s="114"/>
      <c r="D7" s="114"/>
      <c r="E7" s="114"/>
      <c r="F7" s="114"/>
      <c r="G7" s="114"/>
      <c r="H7" s="114"/>
      <c r="I7" s="114"/>
      <c r="J7" s="114"/>
      <c r="K7" s="114"/>
      <c r="L7" s="114"/>
      <c r="M7" s="114"/>
      <c r="N7" s="114"/>
      <c r="O7" s="114"/>
      <c r="P7" s="114"/>
      <c r="Q7" s="114"/>
      <c r="R7" s="114"/>
      <c r="S7" s="114"/>
      <c r="T7" s="114"/>
      <c r="U7" s="114"/>
      <c r="V7" s="114"/>
      <c r="W7" s="114"/>
      <c r="X7" s="114"/>
      <c r="Y7" s="114"/>
      <c r="Z7" s="114"/>
    </row>
    <row r="8">
      <c r="A8" s="114"/>
      <c r="B8" s="32" t="s">
        <v>226</v>
      </c>
      <c r="C8" s="114"/>
      <c r="D8" s="114"/>
      <c r="E8" s="114"/>
      <c r="F8" s="114"/>
      <c r="G8" s="114"/>
      <c r="H8" s="114"/>
      <c r="I8" s="114"/>
      <c r="J8" s="114"/>
      <c r="K8" s="114"/>
      <c r="L8" s="114"/>
      <c r="M8" s="114"/>
      <c r="N8" s="114"/>
      <c r="O8" s="114"/>
      <c r="P8" s="114"/>
      <c r="Q8" s="114"/>
      <c r="R8" s="114"/>
      <c r="S8" s="114"/>
      <c r="T8" s="114"/>
      <c r="U8" s="114"/>
      <c r="V8" s="114"/>
      <c r="W8" s="114"/>
      <c r="X8" s="114"/>
      <c r="Y8" s="114"/>
      <c r="Z8" s="114"/>
    </row>
    <row r="9">
      <c r="A9" s="114"/>
      <c r="B9" s="32" t="s">
        <v>75</v>
      </c>
      <c r="C9" s="114"/>
      <c r="D9" s="114"/>
      <c r="E9" s="114"/>
      <c r="F9" s="114"/>
      <c r="G9" s="114"/>
      <c r="H9" s="114"/>
      <c r="I9" s="114"/>
      <c r="J9" s="114"/>
      <c r="K9" s="114"/>
      <c r="L9" s="114"/>
      <c r="M9" s="114"/>
      <c r="N9" s="114"/>
      <c r="O9" s="114"/>
      <c r="P9" s="114"/>
      <c r="Q9" s="114"/>
      <c r="R9" s="114"/>
      <c r="S9" s="114"/>
      <c r="T9" s="114"/>
      <c r="U9" s="114"/>
      <c r="V9" s="114"/>
      <c r="W9" s="114"/>
      <c r="X9" s="114"/>
      <c r="Y9" s="114"/>
      <c r="Z9" s="114"/>
    </row>
    <row r="10">
      <c r="A10" s="114"/>
      <c r="B10" s="115" t="s">
        <v>60</v>
      </c>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c r="A11" s="114"/>
      <c r="B11" s="115" t="s">
        <v>69</v>
      </c>
      <c r="C11" s="114"/>
      <c r="D11" s="114"/>
      <c r="E11" s="114"/>
      <c r="F11" s="114"/>
      <c r="G11" s="114"/>
      <c r="H11" s="114"/>
      <c r="I11" s="114"/>
      <c r="J11" s="114"/>
      <c r="K11" s="114"/>
      <c r="L11" s="114"/>
      <c r="M11" s="114"/>
      <c r="N11" s="114"/>
      <c r="O11" s="114"/>
      <c r="P11" s="114"/>
      <c r="Q11" s="114"/>
      <c r="R11" s="114"/>
      <c r="S11" s="114"/>
      <c r="T11" s="114"/>
      <c r="U11" s="114"/>
      <c r="V11" s="114"/>
      <c r="W11" s="114"/>
      <c r="X11" s="114"/>
      <c r="Y11" s="114"/>
      <c r="Z11" s="114"/>
    </row>
    <row r="12">
      <c r="A12" s="114"/>
      <c r="B12" s="115" t="s">
        <v>93</v>
      </c>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row>
    <row r="13">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row>
    <row r="14">
      <c r="A14" s="114"/>
      <c r="B14" s="114"/>
      <c r="C14" s="114"/>
      <c r="D14" s="114"/>
      <c r="E14" s="114"/>
      <c r="F14" s="114"/>
      <c r="G14" s="114"/>
      <c r="H14" s="114"/>
      <c r="I14" s="114"/>
      <c r="J14" s="114"/>
      <c r="K14" s="114"/>
      <c r="L14" s="114"/>
      <c r="M14" s="114"/>
      <c r="N14" s="114"/>
      <c r="O14" s="114"/>
      <c r="P14" s="114"/>
      <c r="Q14" s="114"/>
      <c r="R14" s="114"/>
      <c r="S14" s="114"/>
      <c r="T14" s="114"/>
      <c r="U14" s="114"/>
      <c r="V14" s="114"/>
      <c r="W14" s="114"/>
      <c r="X14" s="114"/>
      <c r="Y14" s="114"/>
      <c r="Z14" s="114"/>
    </row>
    <row r="15">
      <c r="A15" s="114"/>
      <c r="B15" s="114"/>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row>
    <row r="16">
      <c r="A16" s="114"/>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row>
    <row r="17">
      <c r="A17" s="114"/>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row>
    <row r="18">
      <c r="A18" s="114"/>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row>
    <row r="19">
      <c r="A19" s="114"/>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row>
    <row r="20">
      <c r="A20" s="114"/>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row>
    <row r="21">
      <c r="A21" s="114"/>
      <c r="B21" s="114"/>
      <c r="C21" s="114"/>
      <c r="D21" s="114"/>
      <c r="E21" s="114"/>
      <c r="F21" s="114"/>
      <c r="G21" s="114"/>
      <c r="H21" s="114"/>
      <c r="I21" s="114"/>
      <c r="J21" s="114"/>
      <c r="K21" s="114"/>
      <c r="L21" s="114"/>
      <c r="M21" s="114"/>
      <c r="N21" s="114"/>
      <c r="O21" s="114"/>
      <c r="P21" s="114"/>
      <c r="Q21" s="114"/>
      <c r="R21" s="114"/>
      <c r="S21" s="114"/>
      <c r="T21" s="114"/>
      <c r="U21" s="114"/>
      <c r="V21" s="114"/>
      <c r="W21" s="114"/>
      <c r="X21" s="114"/>
      <c r="Y21" s="114"/>
      <c r="Z21" s="114"/>
    </row>
    <row r="22">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row>
    <row r="23">
      <c r="A23" s="114"/>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row>
    <row r="24">
      <c r="A24" s="114"/>
      <c r="B24" s="114"/>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row>
    <row r="25">
      <c r="A25" s="114"/>
      <c r="B25" s="114"/>
      <c r="C25" s="114"/>
      <c r="D25" s="114"/>
      <c r="E25" s="114"/>
      <c r="F25" s="114"/>
      <c r="G25" s="114"/>
      <c r="H25" s="114"/>
      <c r="I25" s="114"/>
      <c r="J25" s="114"/>
      <c r="K25" s="114"/>
      <c r="L25" s="114"/>
      <c r="M25" s="114"/>
      <c r="N25" s="114"/>
      <c r="O25" s="114"/>
      <c r="P25" s="114"/>
      <c r="Q25" s="114"/>
      <c r="R25" s="114"/>
      <c r="S25" s="114"/>
      <c r="T25" s="114"/>
      <c r="U25" s="114"/>
      <c r="V25" s="114"/>
      <c r="W25" s="114"/>
      <c r="X25" s="114"/>
      <c r="Y25" s="114"/>
      <c r="Z25" s="114"/>
    </row>
    <row r="26">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c r="Y26" s="114"/>
      <c r="Z26" s="114"/>
    </row>
    <row r="27">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c r="Y27" s="114"/>
      <c r="Z27" s="114"/>
    </row>
    <row r="28">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row>
    <row r="29">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row>
    <row r="30">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row>
    <row r="3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32">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row>
    <row r="33">
      <c r="A33" s="114"/>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row r="34">
      <c r="A34" s="114"/>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row>
    <row r="35">
      <c r="A35" s="114"/>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row>
    <row r="36">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c r="A37" s="114"/>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row>
    <row r="38">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row>
    <row r="39">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row>
    <row r="40">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row>
    <row r="4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row>
    <row r="43">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row>
    <row r="5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row>
    <row r="57">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row r="58">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row>
    <row r="62">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drawing r:id="rId1"/>
</worksheet>
</file>