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y of changes" sheetId="1" r:id="rId4"/>
    <sheet state="visible" name="Summary" sheetId="2" r:id="rId5"/>
    <sheet state="hidden" name="Data" sheetId="3" r:id="rId6"/>
    <sheet state="visible" name="Risk Management" sheetId="4" r:id="rId7"/>
    <sheet state="visible" name="Appendix" sheetId="5"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
      <text>
        <t xml:space="preserve">Là những biện pháp kiểm soát hiện có mà dự án đang áp dụng nhằm thảm thiểu rủi ro, ngăn ngừa những mối nguy có thể xảy ra.
Trường hợp dự án chưa có Action gì - xin để trống thông tin này.</t>
      </text>
    </comment>
    <comment authorId="0" ref="H7">
      <text>
        <t xml:space="preserve">Refer sheet Appendix để tham khảo cách chọn level 
</t>
      </text>
    </comment>
    <comment authorId="0" ref="I7">
      <text>
        <t xml:space="preserve">Mô tả lý do chọn mức độ khả năng xảy ra của rủi ro</t>
      </text>
    </comment>
    <comment authorId="0" ref="J7">
      <text>
        <t xml:space="preserve">Refer sheet Appendix để tham khảo cách chọn level</t>
      </text>
    </comment>
    <comment authorId="0" ref="K7">
      <text>
        <t xml:space="preserve">Mô tả lý do chọn mức độ ảnh hưởng của rủi ro </t>
      </text>
    </comment>
    <comment authorId="0" ref="L7">
      <text>
        <t xml:space="preserve">1. Tất cả các rủi ro được xác định và đánh giá ở mức Extreme &amp; Critical phải được ghi nhận, đánh giá và giám sát định kỳ hàng tuần hoặc theo Sprint tổ chức của dự án. 
2. Các mức độ rủi ro còn lại sẽ được xem xét định kỳ theo kế hoạch quản lý rủi ro của riêng dự án: mỗi sprint / tháng / quý.</t>
      </text>
    </comment>
    <comment authorId="0" ref="N7">
      <text>
        <t xml:space="preserve">là chiền lược giảm khả năng xảy ra và giảm mức độ ảnh hưởng của một rủi ro.</t>
      </text>
    </comment>
    <comment authorId="0" ref="R7">
      <text>
        <t xml:space="preserve">Là những chiến lược được xây dựng nhằm đối phó rủi ro khi xảy ra.</t>
      </text>
    </comment>
    <comment authorId="0" ref="V7">
      <text>
        <t xml:space="preserve">Summary information of risk supports the project leader to get quick information to serve reports for customers and stakeholders</t>
      </text>
    </comment>
    <comment authorId="0" ref="B7">
      <text>
        <t xml:space="preserve">Refer chi tiết Risk Category tại https://docs.google.com/spreadsheets/d/1Vg-rBl4RXZZAL22AnKPtC_R7dnCgEMnTDf-2u6IbRug/edit#gid=1243526865 </t>
      </text>
    </comment>
    <comment authorId="0" ref="D7">
      <text>
        <t xml:space="preserve">Mô tả theo cấu trúc:
1- Bối cảnh
2- Dẫn đến rủi ro
3- Ảnh hưởng của rủi ro</t>
      </text>
    </comment>
    <comment authorId="0" ref="F7">
      <text>
        <t xml:space="preserve">Là các biểu hiện/ hiện tượng báo hiệu trước rủi ro sắp xảy ra.</t>
      </text>
    </comment>
  </commentList>
</comments>
</file>

<file path=xl/sharedStrings.xml><?xml version="1.0" encoding="utf-8"?>
<sst xmlns="http://schemas.openxmlformats.org/spreadsheetml/2006/main" count="336" uniqueCount="232">
  <si>
    <t>Risk Category</t>
  </si>
  <si>
    <t>Risk Origin</t>
  </si>
  <si>
    <t xml:space="preserve">                                                    RISK MANAGEMENT</t>
  </si>
  <si>
    <t>RISK MANAGEMENT</t>
  </si>
  <si>
    <t>Financial Risk</t>
  </si>
  <si>
    <t>Cost, expense, budget management</t>
  </si>
  <si>
    <t>Funding cycle</t>
  </si>
  <si>
    <t xml:space="preserve">Market Risk        </t>
  </si>
  <si>
    <t>Foreign exchange</t>
  </si>
  <si>
    <t>Business competitors</t>
  </si>
  <si>
    <t>Customer's change about business, demands</t>
  </si>
  <si>
    <t xml:space="preserve">Operation Risk        
</t>
  </si>
  <si>
    <t>Technique</t>
  </si>
  <si>
    <t>Project Requirement</t>
  </si>
  <si>
    <t>Project Management</t>
  </si>
  <si>
    <t>Project Characteristics</t>
  </si>
  <si>
    <t>Project Dependencies</t>
  </si>
  <si>
    <t>Customer's related problems</t>
  </si>
  <si>
    <t>No: BM-QT-1704-01</t>
  </si>
  <si>
    <t>Project Environment</t>
  </si>
  <si>
    <t>Project operations</t>
  </si>
  <si>
    <t xml:space="preserve">Information Security Risk        
</t>
  </si>
  <si>
    <t>Cyber security</t>
  </si>
  <si>
    <t>Human interference</t>
  </si>
  <si>
    <t>Third-Party Suppliers</t>
  </si>
  <si>
    <t xml:space="preserve">Compliance Risk        
</t>
  </si>
  <si>
    <t>Contract penalties</t>
  </si>
  <si>
    <t>Project's Non - compliance</t>
  </si>
  <si>
    <t xml:space="preserve">Human Risk	
</t>
  </si>
  <si>
    <t>Shortage of resource</t>
  </si>
  <si>
    <t>Skill deficiency</t>
  </si>
  <si>
    <t>Labor issue</t>
  </si>
  <si>
    <t xml:space="preserve">Event Risk	
</t>
  </si>
  <si>
    <t>External business sources</t>
  </si>
  <si>
    <t>Internal business sources</t>
  </si>
  <si>
    <t>Rumor Risk</t>
  </si>
  <si>
    <t>Version: 2.3</t>
  </si>
  <si>
    <t>Issue Date: 22/09/2026</t>
  </si>
  <si>
    <t>SUN ASTERISK VIETNAM CO., LTD</t>
  </si>
  <si>
    <t>ISO/IEC 27001:2013&amp;ISO 9001:2015</t>
  </si>
  <si>
    <t>ISO/IEC 27001:2013 &amp; ISO 9001:2015</t>
  </si>
  <si>
    <r>
      <rPr>
        <b/>
        <color rgb="FF000000"/>
      </rPr>
      <t>Refer Risk Management Process at</t>
    </r>
    <r>
      <rPr>
        <b/>
        <color rgb="FF1155CC"/>
        <u/>
      </rPr>
      <t xml:space="preserve"> here</t>
    </r>
  </si>
  <si>
    <t>HISTORY OF CHANGES</t>
  </si>
  <si>
    <t>No</t>
  </si>
  <si>
    <t>Change Item</t>
  </si>
  <si>
    <t>1- Risk Category</t>
  </si>
  <si>
    <t>Description of changes</t>
  </si>
  <si>
    <t>Description</t>
  </si>
  <si>
    <t>Change Date</t>
  </si>
  <si>
    <t xml:space="preserve">         I. RISK IDENTIFICATION</t>
  </si>
  <si>
    <t>● Cost, expense, budget management</t>
  </si>
  <si>
    <t>● Rủi ro chi phí do lỗi lập kế hoạch ngân sách, quản lý chi phí dự án không chính xác, mức phạt và phạm vi ảnh hưởng.</t>
  </si>
  <si>
    <t>● Funding cycle</t>
  </si>
  <si>
    <t>● Chu kỳ cấp vốn</t>
  </si>
  <si>
    <t xml:space="preserve">                     II.RISK ANALYSIS &amp; EVALUATION              </t>
  </si>
  <si>
    <t>Add new</t>
  </si>
  <si>
    <t>● Foreign exchange</t>
  </si>
  <si>
    <t xml:space="preserve">                                               III. PLAN &amp; IMPLEMENT RISK RESPONSE</t>
  </si>
  <si>
    <t>● Rủi ro về biến động tỷ giá.</t>
  </si>
  <si>
    <t>13/01/2020</t>
  </si>
  <si>
    <t>● Business competitors</t>
  </si>
  <si>
    <t>● Rủi ro đến từ các đối thủ kinh doanh cùng ngành</t>
  </si>
  <si>
    <t xml:space="preserve"> IV.  RISK MONITOR</t>
  </si>
  <si>
    <t>Update format</t>
  </si>
  <si>
    <t>● Customer's change about business, demands</t>
  </si>
  <si>
    <t>● Những thay đổi của công việc kinh doanh, nhu cầu của Khách hàng ảnh hưởng đến sản phẩm được phát triển.</t>
  </si>
  <si>
    <t>Identified Date</t>
  </si>
  <si>
    <t>● Technique</t>
  </si>
  <si>
    <t>● Rủi ro về Kỹ thuật: thay đổi về công nghệ, sử dụng công nghệ mới. Rủi ro kỹ thuật liên quan đến vấn đề phương pháp, triển khai, giao diện, thử nghiệm và bảo trì tiềm ẩn.</t>
  </si>
  <si>
    <t>Risk Management &amp; Appendix sheet</t>
  </si>
  <si>
    <t>● Project Requirement</t>
  </si>
  <si>
    <t>● Rủi ro về Spect của dự án: Spec sai hoặc thiếu chi tiết, do sự hiểu sai yêu cầu về sản phẩm từ phía đội ngũ quản lý dự án.</t>
  </si>
  <si>
    <t>Customize template:
- Delete Risk Source field
- Add new field: Risk Trigger, Current Control Response
- Update criteria of impact</t>
  </si>
  <si>
    <t>● Project Management</t>
  </si>
  <si>
    <t>● Rủi ro trong hoạt động Quản lý dự án: Quản lý kế hoạch dòng đời của dự án, theo dõi task, quá trình giao tiếp với khách hàng, đội dự án, chuyển giao thông tin ...</t>
  </si>
  <si>
    <t>● Project Characteristics</t>
  </si>
  <si>
    <t>● Rủi ro từ đặc điểm của dự án: Rủi ro từ các đặc điểm của dự án như các loại dự án: fix price, maintain, phát triển nhanh, ngắn hạn...</t>
  </si>
  <si>
    <t>Risk Category
(Auto fill dựa vào Risk Origin)</t>
  </si>
  <si>
    <t>Risk Description</t>
  </si>
  <si>
    <t>Risk Owner</t>
  </si>
  <si>
    <t>- Bổ sung nội dung Risk Origin: Là nguồn gốc gây ra rủi ro theo từng phân loại, điều này giúp sự thống kê các rủi ro thường xảy ra trong công ty, dự án dễ dàng, từ đó có thể học được các giải pháp phù hợp để áp dụng giảm thiểu rủi ro trong tương lai.
- Bổ sung sheet Summary: Thống kê các rủi ro theo Priority, Risk Category và Risk Origin</t>
  </si>
  <si>
    <t>Risk Trigger</t>
  </si>
  <si>
    <r>
      <rPr>
        <b/>
        <color rgb="FF000000"/>
      </rPr>
      <t xml:space="preserve">Current Control Response
</t>
    </r>
    <r>
      <rPr>
        <b/>
        <i/>
        <color rgb="FF000000"/>
      </rPr>
      <t xml:space="preserve"> (If have)</t>
    </r>
  </si>
  <si>
    <t>Probability</t>
  </si>
  <si>
    <t>● Project Dependencies</t>
  </si>
  <si>
    <t>● Rủi ro từ những bên liên quan: Rủi ro từ nhà cung cấp dịch vụ, sản phẩm / đơn vị gia công bên ngoài (nếu có)</t>
  </si>
  <si>
    <t>Sheet Appendix</t>
  </si>
  <si>
    <t>Customize bảng Risk Category: Tách thành các dòng độc lập cho rõ ràng</t>
  </si>
  <si>
    <t>● Customer's related problems</t>
  </si>
  <si>
    <t>● Rủi ro quan đến khách hàng: Kinh nghiệm phát triển phần mềm của khách hàng (công ty CNTT, công ty phi CNTT, ..), tổng số điểm tiếp xúc của khách hàng, ...</t>
  </si>
  <si>
    <t>20/01/2022</t>
  </si>
  <si>
    <t>Probability Description</t>
  </si>
  <si>
    <t xml:space="preserve">Sheet Risk Management </t>
  </si>
  <si>
    <t>● Project Environment</t>
  </si>
  <si>
    <t>Impact</t>
  </si>
  <si>
    <t>● Rủi ro về môi trường dự án: Rủi ro từ hạ tầng, phần cứng / phần mềm như giấy phép, đa nền tảng, ... ảnh hưởng đến chi phí, hạn chế của dự án.</t>
  </si>
  <si>
    <t xml:space="preserve">Thêm cột Summary for reporting: tóm tắt nhanh các thông tin thiết yếu tới Unit manager và các bên liên quan về hiện trạng quản lý risk tại dự án </t>
  </si>
  <si>
    <t>Impact Description</t>
  </si>
  <si>
    <t>● Project operations</t>
  </si>
  <si>
    <t>● Hoạt động dự án: Lỗi từ hoạt động Release, Testing, chất lượng sourcode không được đảm bảo cùng với CI, UT và quy trình review source code.</t>
  </si>
  <si>
    <t>Risk Priority
(Probability x Impact)</t>
  </si>
  <si>
    <t>Risk response</t>
  </si>
  <si>
    <t>Mitigation Plan</t>
  </si>
  <si>
    <t>PIC</t>
  </si>
  <si>
    <t>18/11/2024</t>
  </si>
  <si>
    <t>Deadline</t>
  </si>
  <si>
    <t>Status</t>
  </si>
  <si>
    <t>Contingency Plan</t>
  </si>
  <si>
    <t>Review Date</t>
  </si>
  <si>
    <t>Risk Status</t>
  </si>
  <si>
    <t>● Security Requirement</t>
  </si>
  <si>
    <t>Summary for reporting</t>
  </si>
  <si>
    <t>Thêm mục Security Requirement vào phần Risk Origin</t>
  </si>
  <si>
    <t>● Rủi ro liên quan đến việc các yêu cầu về Bảo mật không được cover đầy đủ trong quá trình phát triển sản phẩm</t>
  </si>
  <si>
    <t>8</t>
  </si>
  <si>
    <t>● Cyber security</t>
  </si>
  <si>
    <t>● Rủi ro An ninh mạng: Không đáp ứng yêu cầu cơ bản về an ninh mạng, thiếu chính sách an ninh mạng, không tuân thủ quy định về an ninh mạng - không đảm bảo tính toàn vẹn, tính khả dụng, bảo mật của thông tin.
● Thiếu kế hoạch khôi phục - tính toàn vẹn của thông tin, tính khả dụng không được đảm bảo</t>
  </si>
  <si>
    <t>All sheet</t>
  </si>
  <si>
    <t>Update mã biểu mẫu theo tiêu chuẩn ISO.</t>
  </si>
  <si>
    <t>● Human interference</t>
  </si>
  <si>
    <t>● Sự can thiệp của con người: rò rỉ mã nguồn, thông tin dự án...</t>
  </si>
  <si>
    <t>22/09/2026</t>
  </si>
  <si>
    <t>● Third-Party Suppliers</t>
  </si>
  <si>
    <t>● Dữ liệu bị lộ ra bên ngoài thông qua nhà cung cấp bên thứ ba
● Tiết lộ mật khẩu
● Vi phạm bản quyền sử dụng, cấp phép phần mềm ...</t>
  </si>
  <si>
    <t xml:space="preserve">Compliance Risk        </t>
  </si>
  <si>
    <t>● Contract penalties</t>
  </si>
  <si>
    <t>● Phạt hợp đồng: Những điều khoản hợp đồng: thời gian, các điều khoản bị vi phạm</t>
  </si>
  <si>
    <t>● Project's Non - compliance</t>
  </si>
  <si>
    <t>● Không tuân thủ hoạt động kinh doanh của bên thứ ba: giấy phép, quy định ...</t>
  </si>
  <si>
    <t>● Shortage of resource</t>
  </si>
  <si>
    <t>● Thiếu nguồn lực: nhân viên ốm đau, không đủ nguồn lực ...</t>
  </si>
  <si>
    <t>● Skill deficiency</t>
  </si>
  <si>
    <t>● Thiếu kỹ năng: thiếu chuyên môn...</t>
  </si>
  <si>
    <t>● Labor issue</t>
  </si>
  <si>
    <t>● Cơ cấu tổ chức: sự thay đổi của ban lãnh đạo, từ đó có thể dẫn đến sự thay đổi trong định hướng chiến lược.
● Vấn đề về nguồn lực nói chung</t>
  </si>
  <si>
    <t>● External business sources</t>
  </si>
  <si>
    <t>● Rủi ro kinh doanh bên ngoài: thiên tai, dịch bệnh, tấn công mạng...</t>
  </si>
  <si>
    <t>● Internal business sources</t>
  </si>
  <si>
    <t>● Rủi ro kinh doanh nội bộ là các mối đe dọa đến từ bên trong công ty, chẳng hạn như không tuân thủ, nợ quá nhiều hoặc tranh chấp lao động.</t>
  </si>
  <si>
    <t>● Rumor Risk</t>
  </si>
  <si>
    <t>● Sự cố dự án xảy ra thường xuyên và / hoặc mức độ ưu tiên sự cố nghiêm trọng có thể làm giảm uy tín của công ty khách hàng.
● Tin đồn làm giảm hiệu suất dự án, sa sút tinh thần làm việc, ...</t>
  </si>
  <si>
    <t>Bối cảnh: Khách hàng upload nhiều file lên Redmine của dự án
Dẫn đến rủi ro: Dung lượng lưu trữ trên server bị giảm, tốc độ xử lý server bị chậm
Ảnh hưởng của rủi ro: Ảnh hưởng đến chất lượng của Redmine, dự án mất thời gian chờ đợi để hệ thống load data</t>
  </si>
  <si>
    <t>Nguyen Van B</t>
  </si>
  <si>
    <t xml:space="preserve">Dấu hiệu rủi ro đã trở thành vấn đề: Dung lượng lưu trữ trên server đạt ngưỡng 90% </t>
  </si>
  <si>
    <t>Xin nâng cấp dung lượng lưu trữ trên server của khách hàng</t>
  </si>
  <si>
    <t>High</t>
  </si>
  <si>
    <t>Đã xảy ra trong dự án vào 08/2020</t>
  </si>
  <si>
    <t>Low</t>
  </si>
  <si>
    <t>2- Estimate Probability of risk</t>
  </si>
  <si>
    <t>Team không load được dữ liệu của ticket để xử lý theo plan. Ảnh hưởng &lt;5% tiến độ của dự án</t>
  </si>
  <si>
    <t>Đánh giá khả năng xảy ra của rủi ro:</t>
  </si>
  <si>
    <t>Explanation</t>
  </si>
  <si>
    <t>● Có thể sẽ xảy ra trong hầu hết các trường hợp hoặc dự kiến sẽ xảy ra trong hầu hết các trường hợp;
● Đã xảy ra gần đây trong dự án/ trong các dự án tương tự khác/ trong các tổ chức tương tự khác.</t>
  </si>
  <si>
    <t>Normal</t>
  </si>
  <si>
    <t>● Có thể xảy ra vào một lúc nào đó;
● Có cơ hội hợp lý nhưng không hoàn toàn được mong đợi sẽ xảy ra trong tương lai;
● Đã xảy ra ít nhất một lần trong tổ chức này hoặc được coi là có cơ hội xảy ra trong dự án của bạn;
● Chưa bao giờ xảy ra ở tổ chức này nhưng hiếm khi xảy ra ở các tổ chức tương tự khác.</t>
  </si>
  <si>
    <t>● Rất khó xảy ra;
● Không thường xuyên xảy ra hoặc dự kiến không xảy ra;
● Chỉ có thể xảy ra trong trường hợp ngoại lệ;
● Có thể xảy ra nhưng chưa xảy ra trong lịch sử của tổ chức này hoặc bất kỳ tổ chức nào tương tự.</t>
  </si>
  <si>
    <t>3- Estimate Impact of risk</t>
  </si>
  <si>
    <t>Đánh giá mức độ Ảnh hưởng khi rủi ro xảy ra theo các mức độ Low - Normal - High:</t>
  </si>
  <si>
    <t>Manage</t>
  </si>
  <si>
    <t>Tham khảo ý kiến khách hàng về việc xoá bớt file/pj ko còn active.</t>
  </si>
  <si>
    <t>Nguyen Van A</t>
  </si>
  <si>
    <t>Schedule/Cost/Project Scope</t>
  </si>
  <si>
    <t>In Progress</t>
  </si>
  <si>
    <t>End User</t>
  </si>
  <si>
    <t>Financial</t>
  </si>
  <si>
    <t>Nếu server quá tải thì yêu cầu khách hàng chuyển bớt file tài liệu sang GG Driver</t>
  </si>
  <si>
    <t>Reputation</t>
  </si>
  <si>
    <t>Leaking project assets</t>
  </si>
  <si>
    <t>Closed</t>
  </si>
  <si>
    <t>&lt; 5% project size affected Or Minor areas of project scope affected
&lt; 5% project effort /cost increase
&lt; 5% project duration increase</t>
  </si>
  <si>
    <t>&lt; 20%</t>
  </si>
  <si>
    <t>&lt; $1,000</t>
  </si>
  <si>
    <t>Không ảnh hưởng, không bị lộ ra bên ngoài</t>
  </si>
  <si>
    <t>Level 1</t>
  </si>
  <si>
    <t>5% - 20% project size affected
5% - 20% project effort /cost increase
5% - 20% project duration increase</t>
  </si>
  <si>
    <t>20% - 80%</t>
  </si>
  <si>
    <t>$10,000-$1,000</t>
  </si>
  <si>
    <t>Công bố nội bộ: Trong công ty khách hàng hoặc trong các công ty bên liên quan</t>
  </si>
  <si>
    <t>Level 2</t>
  </si>
  <si>
    <t>&gt; 20% project size affected Or Minor areas of project scope affected
&gt; 20% project effort /cost increase
&gt; 20% project duration increase</t>
  </si>
  <si>
    <t>&gt; 80%</t>
  </si>
  <si>
    <t>&gt; $10,000</t>
  </si>
  <si>
    <t>Quảng bá ra bên ngoài: TV, trang web tin tức trọng điểm.</t>
  </si>
  <si>
    <t>Level 3</t>
  </si>
  <si>
    <t>4- Risk Priority</t>
  </si>
  <si>
    <t>Sau khi xác định khả năng xảy ra và ước tính tác động của rủi ro, giá trị rủi ro được tính theo mức độ tiềm ẩn của chúng có thể ảnh hưởng đến các mục tiêu của dự án. Như được mô tả trong bảng ma trận xác suất và tác động bên dưới, các tổ hợp xác suất và tác động dẫn đến rủi ro được đánh giá là: Critical &gt; Extreme &gt; High &gt; Medium &gt; Low..</t>
  </si>
  <si>
    <t>Priority</t>
  </si>
  <si>
    <t>1: Critical</t>
  </si>
  <si>
    <t>2: Extreme</t>
  </si>
  <si>
    <r>
      <rPr>
        <i val="0"/>
        <color rgb="FFFF0000"/>
      </rPr>
      <t xml:space="preserve">Bối cảnh: </t>
    </r>
    <r>
      <rPr>
        <i/>
        <color rgb="FFFF0000"/>
      </rPr>
      <t xml:space="preserve">PC mới không có kinh nghiệm quản lý dự án </t>
    </r>
    <r>
      <rPr>
        <i val="0"/>
        <color rgb="FFFF0000"/>
      </rPr>
      <t xml:space="preserve">
Dẫn đến rủi ro: </t>
    </r>
    <r>
      <rPr>
        <i/>
        <color rgb="FFFF0000"/>
      </rPr>
      <t xml:space="preserve">Không detect kịp thời các risk, issue trong dự án
</t>
    </r>
    <r>
      <rPr>
        <i val="0"/>
        <color rgb="FFFF0000"/>
      </rPr>
      <t xml:space="preserve">Ảnh hưởng của rủi ro: </t>
    </r>
    <r>
      <rPr>
        <i/>
        <color rgb="FFFF0000"/>
      </rPr>
      <t>Các bên liên quan không kịp thời nắm được issue dự án</t>
    </r>
  </si>
  <si>
    <t>Tiến độ bị trễ 2 tuần so với kế hoạch mới nhận ra để report cho khách hàng</t>
  </si>
  <si>
    <t>3: High</t>
  </si>
  <si>
    <t>Có thể xảy ra vào 1 lúc nào đó</t>
  </si>
  <si>
    <t>Có khả năng bị ảnh hưởng 25% tiến độ dự án</t>
  </si>
  <si>
    <t>4: Medium</t>
  </si>
  <si>
    <t>- Tham gia các khóa training định kỳ trong group/section/công ty
- Define cách thức đánh giá và tần suất tracking tiến độ dự án.</t>
  </si>
  <si>
    <t>5. Low</t>
  </si>
  <si>
    <t>Open</t>
  </si>
  <si>
    <t>- Add Senior hỗ trợ xử lý vấn đề</t>
  </si>
  <si>
    <t>5- Risk Response</t>
  </si>
  <si>
    <t>Risk Response</t>
  </si>
  <si>
    <t>Identified</t>
  </si>
  <si>
    <t>● Có những rủi ro nhất định không thể loại bỏ. Tuy nhiên, tác động hoặc xác suất của chúng có thể được giảm bớt.
● Cần xây dựng và thực hiện các hành động bổ sung/ hành động khi sự cố xảy ra, thực hiện hành động sớm để giảm xác suất và / hoặc tác động của rủi ro thường hiệu quả hơn việc cố gắng sửa chữa thiệt hại sau khi rủi ro đã xảy ra.</t>
  </si>
  <si>
    <t>Transfer</t>
  </si>
  <si>
    <t>● Chuyển giao rủi ro cho một bên thứ 3 bằng cách mua bảo hiểm, bảo lãnh hoặc công việc thuê ngoài.
Chuyển giao rủi ro này thường được bao gồm trong các điều khoản và điều kiện của hợp đồng.</t>
  </si>
  <si>
    <t>Escalate</t>
  </si>
  <si>
    <t>● Sử dụng phương pháp chuyển giao Escalate khi dự án không thể tự mình quản lý rủi ro do thiếu thẩm quyền, nguồn lực hoặc kiến thức để ứng phó. Trong trường hợp này liên hệ với người được ủy quyền hoặc quản lý cấp cao hơn để chịu trách nhiệm về rủi ro.</t>
  </si>
  <si>
    <t>Avoid</t>
  </si>
  <si>
    <t>● Loại bỏ các mối đe dọa gây nên rủi ro bằng cách loại bỏ các nguyên nhân gốc rễ. Dự án có thể sử dụng một phương án thực hiện khác để né tránh rủi ro. Đường đi mới có thể không có rủi ro, có rủi ro nhưng nhẹ hơn hoặc chi phí đối phó cũng thấp hơn. Vd: Giảm scope hoặc không thực hiện gói công việc đó.</t>
  </si>
  <si>
    <t>Accept</t>
  </si>
  <si>
    <t>● Chấp nhận “sống chung” với rủi ro trong trường hợp chi phí loại bỏ, phòng tránh, làm nhẹ rủi ro quá lớn (lớn hơn chi phí khắc phục tác hại), hoặc tác hại của rủi ro nếu xảy ra là nhỏ hay cực kì thấp.
● Quyết định chấp nhận rủi ro nên được thảo luận với Khách hàng.</t>
  </si>
  <si>
    <t>6- Status</t>
  </si>
  <si>
    <t>Đã được nhận diện, chưa thực hiện hành động giảm thiểu/phòng ngừa</t>
  </si>
  <si>
    <t>Mitigating</t>
  </si>
  <si>
    <t>Đã thực hiện hành động giảm thiểu rủi ro</t>
  </si>
  <si>
    <t>Occurred</t>
  </si>
  <si>
    <t>Đã xảy ra thành issue/incident/problem</t>
  </si>
  <si>
    <t>Những rủi ro được tổ chức/ dự án đánh giá không còn khả năng xuất hiện trong quá trình vận hành của tổ chức, dự án.</t>
  </si>
  <si>
    <t>Risk Management</t>
  </si>
  <si>
    <t>1- Risk Trend - Count</t>
  </si>
  <si>
    <t>Critical</t>
  </si>
  <si>
    <t>Extreme</t>
  </si>
  <si>
    <t>Medium</t>
  </si>
  <si>
    <t>Total</t>
  </si>
  <si>
    <t>2- Risk Trend - Risk Category</t>
  </si>
  <si>
    <t>Market Risk</t>
  </si>
  <si>
    <t>Operation Risk</t>
  </si>
  <si>
    <t>Information Security Risk</t>
  </si>
  <si>
    <t>Compliance Risk</t>
  </si>
  <si>
    <t>Human Risk</t>
  </si>
  <si>
    <t>Event Risk</t>
  </si>
  <si>
    <t>3- Risk Trend - Risk Origin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</si>
</sst>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mm/dd/yyyy"/>
    <numFmt numFmtId="166" formatCode="m/d/yyyy"/>
    <numFmt numFmtId="167" formatCode="yyyy&quot;-&quot;mm&quot;-&quot;dd"/>
    <numFmt numFmtId="168" formatCode="yyyy-mm-dd"/>
  </numFmts>
  <fonts count="25">
    <font>
      <sz val="10.0"/>
      <color rgb="FF000000"/>
      <name val="Arial"/>
    </font>
    <font>
      <b/>
      <sz val="10.0"/>
      <color rgb="FF000000"/>
    </font>
    <font/>
    <font>
      <b/>
      <sz val="28.0"/>
      <name val="Times New Roman"/>
    </font>
    <font>
      <b/>
      <sz val="24.0"/>
      <name val="Times New Roman"/>
    </font>
    <font>
      <b/>
      <sz val="18.0"/>
      <name val="Times New Roman"/>
    </font>
    <font>
      <b/>
      <sz val="18.0"/>
      <color rgb="FF000000"/>
      <name val="Times New Roman"/>
    </font>
    <font>
      <sz val="12.0"/>
      <name val="Times New Roman"/>
    </font>
    <font>
      <sz val="12.0"/>
      <color rgb="FF000000"/>
      <name val="Times New Roman"/>
    </font>
    <font>
      <b/>
      <sz val="10.0"/>
      <name val="Times New Roman"/>
    </font>
    <font>
      <b/>
      <sz val="14.0"/>
      <name val="Times New Roman"/>
    </font>
    <font>
      <sz val="10.0"/>
      <color rgb="FF000000"/>
    </font>
    <font>
      <b/>
      <u/>
      <color rgb="FF000000"/>
    </font>
    <font>
      <b/>
      <color rgb="FF000000"/>
    </font>
    <font>
      <b/>
      <sz val="12.0"/>
      <color rgb="FF000000"/>
      <name val="Times New Roman"/>
    </font>
    <font>
      <b/>
      <u/>
      <color rgb="FF1155CC"/>
    </font>
    <font>
      <color rgb="FFFF0000"/>
      <name val="Arial"/>
    </font>
    <font>
      <i/>
      <color rgb="FFFF0000"/>
    </font>
    <font>
      <sz val="10.0"/>
      <color rgb="FF000000"/>
      <name val="-apple-system"/>
    </font>
    <font>
      <b/>
      <sz val="10.0"/>
      <color rgb="FF000000"/>
      <name val="-apple-system"/>
    </font>
    <font>
      <color rgb="FF000000"/>
    </font>
    <font>
      <sz val="10.0"/>
      <name val="Arial"/>
    </font>
    <font>
      <i/>
      <color rgb="FF000000"/>
    </font>
    <font>
      <sz val="14.0"/>
    </font>
    <font>
      <b/>
    </font>
  </fonts>
  <fills count="15">
    <fill>
      <patternFill patternType="none"/>
    </fill>
    <fill>
      <patternFill patternType="lightGray"/>
    </fill>
    <fill>
      <patternFill patternType="solid">
        <fgColor rgb="FFD9D2E9"/>
        <bgColor rgb="FFD9D2E9"/>
      </patternFill>
    </fill>
    <fill>
      <patternFill patternType="solid">
        <fgColor rgb="FFFFFFFF"/>
        <bgColor rgb="FFFFFFFF"/>
      </patternFill>
    </fill>
    <fill>
      <patternFill patternType="solid">
        <fgColor rgb="FFB4A7D6"/>
        <bgColor rgb="FFB4A7D6"/>
      </patternFill>
    </fill>
    <fill>
      <patternFill patternType="solid">
        <fgColor rgb="FFEAD1DC"/>
        <bgColor rgb="FFEAD1DC"/>
      </patternFill>
    </fill>
    <fill>
      <patternFill patternType="solid">
        <fgColor rgb="FFF4F5F7"/>
        <bgColor rgb="FFF4F5F7"/>
      </patternFill>
    </fill>
    <fill>
      <patternFill patternType="solid">
        <fgColor rgb="FFFFEBE5"/>
        <bgColor rgb="FFFFEBE5"/>
      </patternFill>
    </fill>
    <fill>
      <patternFill patternType="solid">
        <fgColor rgb="FFFFFAE5"/>
        <bgColor rgb="FFFFFAE5"/>
      </patternFill>
    </fill>
    <fill>
      <patternFill patternType="solid">
        <fgColor rgb="FFE3FCEF"/>
        <bgColor rgb="FFE3FCEF"/>
      </patternFill>
    </fill>
    <fill>
      <patternFill patternType="solid">
        <fgColor rgb="FFCC0000"/>
        <bgColor rgb="FFCC0000"/>
      </patternFill>
    </fill>
    <fill>
      <patternFill patternType="solid">
        <fgColor rgb="FFE69138"/>
        <bgColor rgb="FFE69138"/>
      </patternFill>
    </fill>
    <fill>
      <patternFill patternType="solid">
        <fgColor rgb="FFF1C232"/>
        <bgColor rgb="FFF1C232"/>
      </patternFill>
    </fill>
    <fill>
      <patternFill patternType="solid">
        <fgColor rgb="FFB6D7A8"/>
        <bgColor rgb="FFB6D7A8"/>
      </patternFill>
    </fill>
    <fill>
      <patternFill patternType="solid">
        <fgColor rgb="FFC9DAF8"/>
        <bgColor rgb="FFC9DAF8"/>
      </patternFill>
    </fill>
  </fills>
  <borders count="2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ttom style="thin">
        <color rgb="FF000000"/>
      </bottom>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FFFFFF"/>
      </left>
    </border>
    <border>
      <right style="thin">
        <color rgb="FFFFFFFF"/>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FFFFFF"/>
      </left>
      <bottom style="thin">
        <color rgb="FFFFFFFF"/>
      </bottom>
    </border>
    <border>
      <bottom style="thin">
        <color rgb="FFFFFFFF"/>
      </bottom>
    </border>
    <border>
      <right style="thin">
        <color rgb="FFFFFFFF"/>
      </right>
      <bottom style="thin">
        <color rgb="FFFFFFFF"/>
      </bottom>
    </border>
  </borders>
  <cellStyleXfs count="1">
    <xf borderId="0" fillId="0" fontId="0" numFmtId="0" applyAlignment="1" applyFont="1"/>
  </cellStyleXfs>
  <cellXfs count="174">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2" fontId="1" numFmtId="0" xfId="0" applyAlignment="1" applyBorder="1" applyFill="1" applyFont="1">
      <alignment horizontal="center" readingOrder="0" vertical="center"/>
    </xf>
    <xf borderId="3" fillId="0" fontId="2" numFmtId="0" xfId="0" applyBorder="1" applyFont="1"/>
    <xf borderId="4" fillId="3" fontId="3" numFmtId="0" xfId="0" applyAlignment="1" applyBorder="1" applyFill="1" applyFont="1">
      <alignment horizontal="center" readingOrder="0" shrinkToFit="0" vertical="center" wrapText="1"/>
    </xf>
    <xf borderId="4" fillId="0" fontId="4" numFmtId="0" xfId="0" applyAlignment="1" applyBorder="1" applyFont="1">
      <alignment horizontal="center" readingOrder="0" vertical="center"/>
    </xf>
    <xf borderId="5" fillId="0" fontId="2" numFmtId="0" xfId="0" applyBorder="1" applyFont="1"/>
    <xf borderId="6" fillId="0" fontId="2" numFmtId="0" xfId="0" applyBorder="1" applyFont="1"/>
    <xf borderId="1" fillId="3" fontId="0" numFmtId="0" xfId="0" applyAlignment="1" applyBorder="1" applyFill="1" applyFont="1">
      <alignment horizontal="left" readingOrder="0" vertical="center"/>
    </xf>
    <xf borderId="1" fillId="3" fontId="0" numFmtId="0" xfId="0" applyAlignment="1" applyBorder="1" applyFill="1" applyFont="1">
      <alignment horizontal="left" readingOrder="0" shrinkToFit="0" vertical="center" wrapText="1"/>
    </xf>
    <xf borderId="4" fillId="3" fontId="6" numFmtId="0" xfId="0" applyAlignment="1" applyBorder="1" applyFill="1" applyFont="1">
      <alignment horizontal="left" readingOrder="0" shrinkToFit="0" vertical="center" wrapText="1"/>
    </xf>
    <xf borderId="4" fillId="0" fontId="5" numFmtId="0" xfId="0" applyAlignment="1" applyBorder="1" applyFont="1">
      <alignment horizontal="center" readingOrder="0" shrinkToFit="0" vertical="center" wrapText="1"/>
    </xf>
    <xf borderId="4" fillId="0" fontId="7" numFmtId="0" xfId="0" applyAlignment="1" applyBorder="1" applyFont="1">
      <alignment readingOrder="0" vertical="bottom"/>
    </xf>
    <xf borderId="7" fillId="0" fontId="2" numFmtId="0" xfId="0" applyBorder="1" applyFont="1"/>
    <xf borderId="0" fillId="0" fontId="7" numFmtId="0" xfId="0" applyAlignment="1" applyFont="1">
      <alignment readingOrder="0" vertical="bottom"/>
    </xf>
    <xf borderId="8" fillId="0" fontId="2" numFmtId="0" xfId="0" applyBorder="1" applyFont="1"/>
    <xf borderId="8" fillId="0" fontId="8" numFmtId="0" xfId="0" applyAlignment="1" applyBorder="1" applyFont="1">
      <alignment readingOrder="0" vertical="bottom"/>
    </xf>
    <xf borderId="9" fillId="0" fontId="2" numFmtId="0" xfId="0" applyBorder="1" applyFont="1"/>
    <xf borderId="0" fillId="0" fontId="8" numFmtId="0" xfId="0" applyAlignment="1" applyFont="1">
      <alignment readingOrder="0" vertical="bottom"/>
    </xf>
    <xf borderId="10" fillId="0" fontId="2" numFmtId="0" xfId="0" applyBorder="1" applyFont="1"/>
    <xf borderId="11" fillId="0" fontId="2" numFmtId="0" xfId="0" applyBorder="1" applyFont="1"/>
    <xf borderId="10" fillId="0" fontId="8" numFmtId="0" xfId="0" applyAlignment="1" applyBorder="1" applyFont="1">
      <alignment readingOrder="0" shrinkToFit="0" vertical="bottom" wrapText="0"/>
    </xf>
    <xf borderId="12" fillId="0" fontId="2" numFmtId="0" xfId="0" applyBorder="1" applyFont="1"/>
    <xf borderId="0" fillId="0" fontId="8" numFmtId="0" xfId="0" applyAlignment="1" applyFont="1">
      <alignment readingOrder="0" shrinkToFit="0" vertical="bottom" wrapText="0"/>
    </xf>
    <xf borderId="2" fillId="0" fontId="9" numFmtId="0" xfId="0" applyAlignment="1" applyBorder="1" applyFont="1">
      <alignment readingOrder="0" vertical="center"/>
    </xf>
    <xf borderId="2" fillId="3" fontId="9" numFmtId="0" xfId="0" applyAlignment="1" applyBorder="1" applyFill="1" applyFont="1">
      <alignment horizontal="left" readingOrder="0" shrinkToFit="0" vertical="center" wrapText="1"/>
    </xf>
    <xf borderId="2" fillId="3" fontId="9" numFmtId="0" xfId="0" applyAlignment="1" applyBorder="1" applyFill="1" applyFont="1">
      <alignment horizontal="right" readingOrder="0" shrinkToFit="0" vertical="center" wrapText="1"/>
    </xf>
    <xf borderId="0" fillId="3" fontId="9" numFmtId="0" xfId="0" applyAlignment="1" applyFill="1" applyFont="1">
      <alignment horizontal="right" readingOrder="0" shrinkToFit="0" vertical="center" wrapText="1"/>
    </xf>
    <xf borderId="10" fillId="0" fontId="9" numFmtId="0" xfId="0" applyAlignment="1" applyBorder="1" applyFont="1">
      <alignment horizontal="right" readingOrder="0" shrinkToFit="0" vertical="center" wrapText="1"/>
    </xf>
    <xf borderId="13" fillId="0" fontId="10" numFmtId="0" xfId="0" applyAlignment="1" applyBorder="1" applyFont="1">
      <alignment horizontal="center" readingOrder="0" shrinkToFit="0" vertical="center" wrapText="1"/>
    </xf>
    <xf borderId="14" fillId="0" fontId="2" numFmtId="0" xfId="0" applyBorder="1" applyFont="1"/>
    <xf borderId="13" fillId="0" fontId="10" numFmtId="0" xfId="0" applyAlignment="1" applyBorder="1" applyFont="1">
      <alignment horizontal="center" readingOrder="0" shrinkToFit="0" vertical="top" wrapText="1"/>
    </xf>
    <xf borderId="0" fillId="3" fontId="1" numFmtId="0" xfId="0" applyAlignment="1" applyFill="1" applyFont="1">
      <alignment horizontal="left" readingOrder="0" vertical="center"/>
    </xf>
    <xf borderId="1" fillId="2" fontId="10" numFmtId="0" xfId="0" applyAlignment="1" applyBorder="1" applyFill="1" applyFont="1">
      <alignment horizontal="center" readingOrder="0" shrinkToFit="0" vertical="center" wrapText="1"/>
    </xf>
    <xf borderId="0" fillId="3" fontId="1" numFmtId="0" xfId="0" applyAlignment="1" applyFill="1" applyFont="1">
      <alignment horizontal="center" readingOrder="0" vertical="center"/>
    </xf>
    <xf borderId="2" fillId="2" fontId="10" numFmtId="0" xfId="0" applyAlignment="1" applyBorder="1" applyFill="1" applyFont="1">
      <alignment horizontal="center" readingOrder="0" shrinkToFit="0" vertical="center" wrapText="1"/>
    </xf>
    <xf borderId="0" fillId="3" fontId="11" numFmtId="0" xfId="0" applyFill="1" applyFont="1"/>
    <xf borderId="0" fillId="3" fontId="12" numFmtId="0" xfId="0" applyAlignment="1" applyFill="1" applyFont="1">
      <alignment horizontal="left" readingOrder="0" vertical="center"/>
    </xf>
    <xf borderId="0" fillId="3" fontId="13" numFmtId="0" xfId="0" applyAlignment="1" applyFill="1" applyFont="1">
      <alignment horizontal="center" readingOrder="0" shrinkToFit="0" vertical="center" wrapText="1"/>
    </xf>
    <xf borderId="0" fillId="3" fontId="13" numFmtId="0" xfId="0" applyAlignment="1" applyFill="1" applyFont="1">
      <alignment horizontal="center" readingOrder="0" vertical="center"/>
    </xf>
    <xf borderId="0" fillId="3" fontId="13" numFmtId="0" xfId="0" applyAlignment="1" applyFill="1" applyFont="1">
      <alignment readingOrder="0" vertical="center"/>
    </xf>
    <xf borderId="0" fillId="3" fontId="13" numFmtId="0" xfId="0" applyAlignment="1" applyFill="1" applyFont="1">
      <alignment readingOrder="0" shrinkToFit="0" vertical="center" wrapText="1"/>
    </xf>
    <xf borderId="0" fillId="0" fontId="11" numFmtId="0" xfId="0" applyFont="1"/>
    <xf borderId="0" fillId="3" fontId="13" numFmtId="164" xfId="0" applyAlignment="1" applyFill="1" applyFont="1" applyNumberFormat="1">
      <alignment readingOrder="0" vertical="center"/>
    </xf>
    <xf borderId="15" fillId="3" fontId="0" numFmtId="0" xfId="0" applyAlignment="1" applyBorder="1" applyFill="1" applyFont="1">
      <alignment horizontal="left" readingOrder="0" vertical="center"/>
    </xf>
    <xf borderId="1" fillId="0" fontId="7" numFmtId="0" xfId="0" applyAlignment="1" applyBorder="1" applyFont="1">
      <alignment horizontal="center" readingOrder="0" shrinkToFit="0" vertical="center" wrapText="1"/>
    </xf>
    <xf borderId="2" fillId="3" fontId="0" numFmtId="0" xfId="0" applyAlignment="1" applyBorder="1" applyFill="1" applyFont="1">
      <alignment horizontal="left" readingOrder="0" shrinkToFit="0" vertical="top" wrapText="1"/>
    </xf>
    <xf borderId="2" fillId="0" fontId="7" numFmtId="0" xfId="0" applyAlignment="1" applyBorder="1" applyFont="1">
      <alignment horizontal="left" readingOrder="0" shrinkToFit="0" vertical="center" wrapText="1"/>
    </xf>
    <xf borderId="2" fillId="4" fontId="13" numFmtId="0" xfId="0" applyAlignment="1" applyBorder="1" applyFill="1" applyFont="1">
      <alignment horizontal="center" readingOrder="0" shrinkToFit="0" vertical="center" wrapText="1"/>
    </xf>
    <xf borderId="16" fillId="0" fontId="2" numFmtId="0" xfId="0" applyBorder="1" applyFont="1"/>
    <xf borderId="2" fillId="4" fontId="13" numFmtId="0" xfId="0" applyAlignment="1" applyBorder="1" applyFill="1" applyFont="1">
      <alignment readingOrder="0" shrinkToFit="0" vertical="center" wrapText="1"/>
    </xf>
    <xf borderId="17" fillId="0" fontId="2" numFmtId="0" xfId="0" applyBorder="1" applyFont="1"/>
    <xf borderId="1" fillId="4" fontId="13" numFmtId="0" xfId="0" applyAlignment="1" applyBorder="1" applyFill="1" applyFont="1">
      <alignment horizontal="center" readingOrder="0" shrinkToFit="0" vertical="center" wrapText="1"/>
    </xf>
    <xf borderId="2" fillId="0" fontId="7" numFmtId="165" xfId="0" applyAlignment="1" applyBorder="1" applyFont="1" applyNumberFormat="1">
      <alignment horizontal="left" readingOrder="0" shrinkToFit="0" vertical="center" wrapText="1"/>
    </xf>
    <xf borderId="4" fillId="0" fontId="7" numFmtId="0" xfId="0" applyAlignment="1" applyBorder="1" applyFont="1">
      <alignment horizontal="left" readingOrder="0" shrinkToFit="0" vertical="center" wrapText="1"/>
    </xf>
    <xf borderId="1" fillId="2" fontId="13" numFmtId="0" xfId="0" applyAlignment="1" applyBorder="1" applyFill="1" applyFont="1">
      <alignment horizontal="center" readingOrder="0" shrinkToFit="0" vertical="center" wrapText="1"/>
    </xf>
    <xf borderId="3" fillId="0" fontId="8" numFmtId="0" xfId="0" applyAlignment="1" applyBorder="1" applyFont="1">
      <alignment horizontal="left" readingOrder="0" shrinkToFit="0" vertical="center" wrapText="1"/>
    </xf>
    <xf borderId="1" fillId="2" fontId="13" numFmtId="0" xfId="0" applyAlignment="1" applyBorder="1" applyFill="1" applyFont="1">
      <alignment horizontal="center" readingOrder="0" vertical="center"/>
    </xf>
    <xf quotePrefix="1" borderId="2" fillId="0" fontId="8" numFmtId="0" xfId="0" applyAlignment="1" applyBorder="1" applyFont="1">
      <alignment horizontal="left" readingOrder="0" shrinkToFit="0" vertical="center" wrapText="1"/>
    </xf>
    <xf borderId="2" fillId="0" fontId="7" numFmtId="166" xfId="0" applyAlignment="1" applyBorder="1" applyFont="1" applyNumberFormat="1">
      <alignment horizontal="left" readingOrder="0" shrinkToFit="0" vertical="center" wrapText="1"/>
    </xf>
    <xf borderId="1" fillId="0" fontId="14" numFmtId="0" xfId="0" applyAlignment="1" applyBorder="1" applyFont="1">
      <alignment horizontal="center" readingOrder="0" shrinkToFit="0" vertical="center" wrapText="1"/>
    </xf>
    <xf borderId="2" fillId="0" fontId="8" numFmtId="0" xfId="0" applyAlignment="1" applyBorder="1" applyFont="1">
      <alignment horizontal="left" readingOrder="0" shrinkToFit="0" vertical="center" wrapText="1"/>
    </xf>
    <xf borderId="1" fillId="2" fontId="15" numFmtId="0" xfId="0" applyAlignment="1" applyBorder="1" applyFill="1" applyFont="1">
      <alignment horizontal="center" readingOrder="0" vertical="center"/>
    </xf>
    <xf borderId="1" fillId="0" fontId="14" numFmtId="0" xfId="0" applyAlignment="1" applyBorder="1" applyFont="1">
      <alignment horizontal="center" shrinkToFit="0" wrapText="1"/>
    </xf>
    <xf borderId="3" fillId="0" fontId="8" numFmtId="0" xfId="0" applyAlignment="1" applyBorder="1" applyFont="1">
      <alignment shrinkToFit="0" wrapText="1"/>
    </xf>
    <xf borderId="2" fillId="0" fontId="8" numFmtId="49" xfId="0" applyAlignment="1" applyBorder="1" applyFont="1" applyNumberFormat="1">
      <alignment shrinkToFit="0" wrapText="1"/>
    </xf>
    <xf borderId="2" fillId="0" fontId="7" numFmtId="0" xfId="0" applyAlignment="1" applyBorder="1" applyFont="1">
      <alignment shrinkToFit="0" wrapText="1"/>
    </xf>
    <xf borderId="1" fillId="2" fontId="13" numFmtId="164" xfId="0" applyAlignment="1" applyBorder="1" applyFill="1" applyFont="1" applyNumberFormat="1">
      <alignment horizontal="center" readingOrder="0" vertical="center"/>
    </xf>
    <xf borderId="1" fillId="0" fontId="14" numFmtId="0" xfId="0" applyAlignment="1" applyBorder="1" applyFont="1">
      <alignment horizontal="center" readingOrder="0" shrinkToFit="0" wrapText="1"/>
    </xf>
    <xf borderId="15" fillId="3" fontId="0" numFmtId="0" xfId="0" applyAlignment="1" applyBorder="1" applyFill="1" applyFont="1">
      <alignment horizontal="left" readingOrder="0" shrinkToFit="0" vertical="center" wrapText="1"/>
    </xf>
    <xf borderId="1" fillId="3" fontId="16" numFmtId="0" xfId="0" applyAlignment="1" applyBorder="1" applyFill="1" applyFont="1">
      <alignment shrinkToFit="0" wrapText="1"/>
    </xf>
    <xf borderId="2" fillId="3" fontId="16" numFmtId="0" xfId="0" applyAlignment="1" applyBorder="1" applyFill="1" applyFont="1">
      <alignment shrinkToFit="0" vertical="top" wrapText="1"/>
    </xf>
    <xf borderId="1" fillId="5" fontId="17" numFmtId="164" xfId="0" applyAlignment="1" applyBorder="1" applyFill="1" applyFont="1" applyNumberFormat="1">
      <alignment readingOrder="0" vertical="center"/>
    </xf>
    <xf borderId="2" fillId="0" fontId="7" numFmtId="165" xfId="0" applyAlignment="1" applyBorder="1" applyFont="1" applyNumberFormat="1">
      <alignment horizontal="left" readingOrder="0" shrinkToFit="0" wrapText="1"/>
    </xf>
    <xf borderId="1" fillId="5" fontId="17" numFmtId="0" xfId="0" applyAlignment="1" applyBorder="1" applyFill="1" applyFont="1">
      <alignment readingOrder="0" shrinkToFit="0" vertical="center" wrapText="1"/>
    </xf>
    <xf quotePrefix="1" borderId="0" fillId="0" fontId="14" numFmtId="0" xfId="0" applyAlignment="1" applyFont="1">
      <alignment horizontal="center" readingOrder="0" shrinkToFit="0" wrapText="1"/>
    </xf>
    <xf borderId="0" fillId="0" fontId="8" numFmtId="0" xfId="0" applyAlignment="1" applyFont="1">
      <alignment readingOrder="0" shrinkToFit="0" wrapText="1"/>
    </xf>
    <xf borderId="0" fillId="0" fontId="7" numFmtId="0" xfId="0" applyAlignment="1" applyFont="1">
      <alignment horizontal="left" readingOrder="0" shrinkToFit="0" wrapText="1"/>
    </xf>
    <xf borderId="13" fillId="0" fontId="10" numFmtId="49" xfId="0" applyAlignment="1" applyBorder="1" applyFont="1" applyNumberFormat="1">
      <alignment horizontal="left" readingOrder="0" shrinkToFit="0" vertical="center" wrapText="1"/>
    </xf>
    <xf borderId="0" fillId="0" fontId="10" numFmtId="49" xfId="0" applyAlignment="1" applyFont="1" applyNumberFormat="1">
      <alignment horizontal="left" readingOrder="0" shrinkToFit="0" vertical="center" wrapText="1"/>
    </xf>
    <xf borderId="14" fillId="0" fontId="10" numFmtId="49" xfId="0" applyAlignment="1" applyBorder="1" applyFont="1" applyNumberFormat="1">
      <alignment horizontal="left" readingOrder="0" shrinkToFit="0" vertical="center" wrapText="1"/>
    </xf>
    <xf borderId="18" fillId="0" fontId="10" numFmtId="49" xfId="0" applyAlignment="1" applyBorder="1" applyFont="1" applyNumberFormat="1">
      <alignment horizontal="left" readingOrder="0" shrinkToFit="0" vertical="center" wrapText="1"/>
    </xf>
    <xf borderId="19" fillId="0" fontId="10" numFmtId="49" xfId="0" applyAlignment="1" applyBorder="1" applyFont="1" applyNumberFormat="1">
      <alignment horizontal="left" readingOrder="0" shrinkToFit="0" vertical="center" wrapText="1"/>
    </xf>
    <xf borderId="20" fillId="0" fontId="10" numFmtId="49" xfId="0" applyAlignment="1" applyBorder="1" applyFont="1" applyNumberFormat="1">
      <alignment horizontal="left" readingOrder="0" shrinkToFit="0" vertical="center" wrapText="1"/>
    </xf>
    <xf borderId="1" fillId="3" fontId="17" numFmtId="0" xfId="0" applyAlignment="1" applyBorder="1" applyFill="1" applyFont="1">
      <alignment readingOrder="0" vertical="center"/>
    </xf>
    <xf borderId="1" fillId="5" fontId="17" numFmtId="0" xfId="0" applyAlignment="1" applyBorder="1" applyFill="1" applyFont="1">
      <alignment readingOrder="0" vertical="center"/>
    </xf>
    <xf borderId="1" fillId="0" fontId="17" numFmtId="0" xfId="0" applyAlignment="1" applyBorder="1" applyFont="1">
      <alignment readingOrder="0" shrinkToFit="0" vertical="center" wrapText="1"/>
    </xf>
    <xf borderId="1" fillId="0" fontId="17" numFmtId="0" xfId="0" applyAlignment="1" applyBorder="1" applyFont="1">
      <alignment horizontal="center" readingOrder="0" vertical="center"/>
    </xf>
    <xf borderId="1" fillId="0" fontId="17" numFmtId="0" xfId="0" applyAlignment="1" applyBorder="1" applyFont="1">
      <alignment horizontal="left" readingOrder="0" shrinkToFit="0" vertical="center" wrapText="1"/>
    </xf>
    <xf borderId="1" fillId="5" fontId="17" numFmtId="0" xfId="0" applyAlignment="1" applyBorder="1" applyFill="1" applyFont="1">
      <alignment horizontal="left" readingOrder="0" shrinkToFit="0" vertical="center" wrapText="1"/>
    </xf>
    <xf borderId="0" fillId="0" fontId="1" numFmtId="0" xfId="0" applyAlignment="1" applyFont="1">
      <alignment readingOrder="0"/>
    </xf>
    <xf borderId="0" fillId="3" fontId="0" numFmtId="0" xfId="0" applyAlignment="1" applyFill="1" applyFont="1">
      <alignment readingOrder="0" shrinkToFit="0" vertical="top" wrapText="0"/>
    </xf>
    <xf borderId="1" fillId="3" fontId="18" numFmtId="0" xfId="0" applyAlignment="1" applyBorder="1" applyFill="1" applyFont="1">
      <alignment horizontal="left" readingOrder="0" shrinkToFit="0" vertical="center" wrapText="1"/>
    </xf>
    <xf borderId="1" fillId="5" fontId="17" numFmtId="0" xfId="0" applyAlignment="1" applyBorder="1" applyFill="1" applyFont="1">
      <alignment horizontal="center" vertical="center"/>
    </xf>
    <xf borderId="0" fillId="0" fontId="11" numFmtId="0" xfId="0" applyAlignment="1" applyFont="1">
      <alignment readingOrder="0"/>
    </xf>
    <xf borderId="1" fillId="0" fontId="17" numFmtId="0" xfId="0" applyAlignment="1" applyBorder="1" applyFont="1">
      <alignment readingOrder="0" vertical="center"/>
    </xf>
    <xf borderId="2" fillId="2" fontId="1" numFmtId="0" xfId="0" applyAlignment="1" applyBorder="1" applyFill="1" applyFont="1">
      <alignment horizontal="center" readingOrder="0"/>
    </xf>
    <xf borderId="1" fillId="0" fontId="17" numFmtId="167" xfId="0" applyAlignment="1" applyBorder="1" applyFont="1" applyNumberFormat="1">
      <alignment readingOrder="0" vertical="center"/>
    </xf>
    <xf borderId="1" fillId="5" fontId="17" numFmtId="167" xfId="0" applyAlignment="1" applyBorder="1" applyFill="1" applyFont="1" applyNumberFormat="1">
      <alignment readingOrder="0" vertical="center"/>
    </xf>
    <xf borderId="2" fillId="3" fontId="18" numFmtId="0" xfId="0" applyAlignment="1" applyBorder="1" applyFill="1" applyFont="1">
      <alignment horizontal="left" readingOrder="0" shrinkToFit="0" vertical="top" wrapText="1"/>
    </xf>
    <xf borderId="1" fillId="3" fontId="18" numFmtId="0" xfId="0" applyAlignment="1" applyBorder="1" applyFill="1" applyFont="1">
      <alignment horizontal="left" readingOrder="0" vertical="top"/>
    </xf>
    <xf borderId="2" fillId="3" fontId="18" numFmtId="0" xfId="0" applyAlignment="1" applyBorder="1" applyFill="1" applyFont="1">
      <alignment horizontal="center" readingOrder="0" vertical="center"/>
    </xf>
    <xf borderId="0" fillId="0" fontId="11" numFmtId="0" xfId="0" applyAlignment="1" applyFont="1">
      <alignment readingOrder="0" shrinkToFit="0" wrapText="1"/>
    </xf>
    <xf borderId="1" fillId="6" fontId="19" numFmtId="0" xfId="0" applyAlignment="1" applyBorder="1" applyFill="1" applyFont="1">
      <alignment horizontal="center" readingOrder="0" vertical="top"/>
    </xf>
    <xf borderId="1" fillId="3" fontId="17" numFmtId="164" xfId="0" applyAlignment="1" applyBorder="1" applyFill="1" applyFont="1" applyNumberFormat="1">
      <alignment readingOrder="0" vertical="top"/>
    </xf>
    <xf borderId="1" fillId="7" fontId="18" numFmtId="0" xfId="0" applyAlignment="1" applyBorder="1" applyFill="1" applyFont="1">
      <alignment horizontal="left" readingOrder="0" vertical="top"/>
    </xf>
    <xf borderId="1" fillId="3" fontId="17" numFmtId="0" xfId="0" applyAlignment="1" applyBorder="1" applyFill="1" applyFont="1">
      <alignment readingOrder="0" shrinkToFit="0" vertical="center" wrapText="1"/>
    </xf>
    <xf borderId="1" fillId="8" fontId="18" numFmtId="0" xfId="0" applyAlignment="1" applyBorder="1" applyFill="1" applyFont="1">
      <alignment horizontal="left" readingOrder="0" vertical="top"/>
    </xf>
    <xf borderId="15" fillId="7" fontId="18" numFmtId="0" xfId="0" applyAlignment="1" applyBorder="1" applyFill="1" applyFont="1">
      <alignment horizontal="left" readingOrder="0" vertical="top"/>
    </xf>
    <xf borderId="1" fillId="9" fontId="18" numFmtId="0" xfId="0" applyAlignment="1" applyBorder="1" applyFill="1" applyFont="1">
      <alignment horizontal="left" readingOrder="0" vertical="top"/>
    </xf>
    <xf borderId="1" fillId="0" fontId="17" numFmtId="0" xfId="0" applyAlignment="1" applyBorder="1" applyFont="1">
      <alignment shrinkToFit="0" vertical="center" wrapText="1"/>
    </xf>
    <xf borderId="15" fillId="8" fontId="18" numFmtId="0" xfId="0" applyAlignment="1" applyBorder="1" applyFill="1" applyFont="1">
      <alignment horizontal="left" readingOrder="0" vertical="top"/>
    </xf>
    <xf borderId="1" fillId="3" fontId="17" numFmtId="0" xfId="0" applyAlignment="1" applyBorder="1" applyFill="1" applyFont="1">
      <alignment horizontal="left" readingOrder="0" shrinkToFit="0" vertical="center" wrapText="1"/>
    </xf>
    <xf borderId="1" fillId="3" fontId="17" numFmtId="0" xfId="0" applyAlignment="1" applyBorder="1" applyFill="1" applyFont="1">
      <alignment horizontal="center" vertical="center"/>
    </xf>
    <xf quotePrefix="1" borderId="1" fillId="0" fontId="17" numFmtId="0" xfId="0" applyAlignment="1" applyBorder="1" applyFont="1">
      <alignment readingOrder="0" shrinkToFit="0" vertical="center" wrapText="1"/>
    </xf>
    <xf borderId="1" fillId="0" fontId="17" numFmtId="168" xfId="0" applyAlignment="1" applyBorder="1" applyFont="1" applyNumberFormat="1">
      <alignment readingOrder="0" vertical="center"/>
    </xf>
    <xf borderId="1" fillId="2" fontId="1" numFmtId="0" xfId="0" applyAlignment="1" applyBorder="1" applyFill="1" applyFont="1">
      <alignment horizontal="center" readingOrder="0"/>
    </xf>
    <xf borderId="1" fillId="3" fontId="18" numFmtId="0" xfId="0" applyAlignment="1" applyBorder="1" applyFill="1" applyFont="1">
      <alignment horizontal="left" readingOrder="0" vertical="center"/>
    </xf>
    <xf borderId="1" fillId="3" fontId="17" numFmtId="0" xfId="0" applyAlignment="1" applyBorder="1" applyFill="1" applyFont="1">
      <alignment readingOrder="0" vertical="top"/>
    </xf>
    <xf borderId="1" fillId="0" fontId="20" numFmtId="0" xfId="0" applyAlignment="1" applyBorder="1" applyFont="1">
      <alignment horizontal="center" vertical="center"/>
    </xf>
    <xf borderId="1" fillId="3" fontId="20" numFmtId="0" xfId="0" applyAlignment="1" applyBorder="1" applyFill="1" applyFont="1">
      <alignment horizontal="left" shrinkToFit="0" vertical="center" wrapText="1"/>
    </xf>
    <xf borderId="1" fillId="3" fontId="20" numFmtId="0" xfId="0" applyAlignment="1" applyBorder="1" applyFill="1" applyFont="1">
      <alignment horizontal="center" vertical="center"/>
    </xf>
    <xf borderId="1" fillId="3" fontId="20" numFmtId="0" xfId="0" applyAlignment="1" applyBorder="1" applyFill="1" applyFont="1">
      <alignment readingOrder="0" vertical="center"/>
    </xf>
    <xf borderId="1" fillId="0" fontId="20" numFmtId="0" xfId="0" applyAlignment="1" applyBorder="1" applyFont="1">
      <alignment shrinkToFit="0" vertical="center" wrapText="1"/>
    </xf>
    <xf borderId="1" fillId="0" fontId="20" numFmtId="0" xfId="0" applyAlignment="1" applyBorder="1" applyFont="1">
      <alignment vertical="center"/>
    </xf>
    <xf borderId="1" fillId="0" fontId="20" numFmtId="167" xfId="0" applyAlignment="1" applyBorder="1" applyFont="1" applyNumberFormat="1">
      <alignment vertical="center"/>
    </xf>
    <xf borderId="1" fillId="3" fontId="20" numFmtId="0" xfId="0" applyAlignment="1" applyBorder="1" applyFill="1" applyFont="1">
      <alignment vertical="center"/>
    </xf>
    <xf borderId="1" fillId="0" fontId="20" numFmtId="0" xfId="0" applyAlignment="1" applyBorder="1" applyFont="1">
      <alignment horizontal="left" shrinkToFit="0" vertical="center" wrapText="1"/>
    </xf>
    <xf borderId="1" fillId="0" fontId="11" numFmtId="0" xfId="0" applyAlignment="1" applyBorder="1" applyFont="1">
      <alignment readingOrder="0"/>
    </xf>
    <xf borderId="2" fillId="0" fontId="11" numFmtId="0" xfId="0" applyAlignment="1" applyBorder="1" applyFont="1">
      <alignment readingOrder="0"/>
    </xf>
    <xf borderId="1" fillId="3" fontId="21" numFmtId="0" xfId="0" applyAlignment="1" applyBorder="1" applyFill="1" applyFont="1">
      <alignment readingOrder="0" vertical="bottom"/>
    </xf>
    <xf borderId="2" fillId="3" fontId="11" numFmtId="0" xfId="0" applyAlignment="1" applyBorder="1" applyFill="1" applyFont="1">
      <alignment readingOrder="0"/>
    </xf>
    <xf borderId="0" fillId="0" fontId="21" numFmtId="0" xfId="0" applyAlignment="1" applyFont="1">
      <alignment readingOrder="0" vertical="bottom"/>
    </xf>
    <xf borderId="1" fillId="3" fontId="20" numFmtId="0" xfId="0" applyAlignment="1" applyBorder="1" applyFill="1" applyFont="1">
      <alignment readingOrder="0" shrinkToFit="0" vertical="center" wrapText="1"/>
    </xf>
    <xf borderId="1" fillId="3" fontId="20" numFmtId="0" xfId="0" applyAlignment="1" applyBorder="1" applyFill="1" applyFont="1">
      <alignment shrinkToFit="0" vertical="center" wrapText="1"/>
    </xf>
    <xf borderId="1" fillId="0" fontId="20" numFmtId="167" xfId="0" applyAlignment="1" applyBorder="1" applyFont="1" applyNumberFormat="1">
      <alignment vertical="bottom"/>
    </xf>
    <xf borderId="1" fillId="3" fontId="20" numFmtId="0" xfId="0" applyAlignment="1" applyBorder="1" applyFill="1" applyFont="1">
      <alignment shrinkToFit="0" wrapText="1"/>
    </xf>
    <xf borderId="1" fillId="0" fontId="20" numFmtId="0" xfId="0" applyAlignment="1" applyBorder="1" applyFont="1">
      <alignment shrinkToFit="0" wrapText="1"/>
    </xf>
    <xf borderId="1" fillId="0" fontId="20" numFmtId="0" xfId="0" applyBorder="1" applyFont="1"/>
    <xf borderId="1" fillId="0" fontId="20" numFmtId="0" xfId="0" applyAlignment="1" applyBorder="1" applyFont="1">
      <alignment horizontal="center"/>
    </xf>
    <xf borderId="1" fillId="0" fontId="20" numFmtId="0" xfId="0" applyAlignment="1" applyBorder="1" applyFont="1">
      <alignment horizontal="left" shrinkToFit="0" wrapText="1"/>
    </xf>
    <xf borderId="1" fillId="3" fontId="20" numFmtId="0" xfId="0" applyAlignment="1" applyBorder="1" applyFill="1" applyFont="1">
      <alignment horizontal="left" shrinkToFit="0" vertical="bottom" wrapText="1"/>
    </xf>
    <xf borderId="1" fillId="3" fontId="20" numFmtId="0" xfId="0" applyAlignment="1" applyBorder="1" applyFill="1" applyFont="1">
      <alignment horizontal="center" vertical="bottom"/>
    </xf>
    <xf borderId="1" fillId="3" fontId="20" numFmtId="0" xfId="0" applyBorder="1" applyFill="1" applyFont="1"/>
    <xf borderId="1" fillId="0" fontId="20" numFmtId="167" xfId="0" applyBorder="1" applyFont="1" applyNumberFormat="1"/>
    <xf borderId="0" fillId="0" fontId="20" numFmtId="167" xfId="0" applyAlignment="1" applyFont="1" applyNumberFormat="1">
      <alignment vertical="bottom"/>
    </xf>
    <xf borderId="0" fillId="3" fontId="20" numFmtId="0" xfId="0" applyAlignment="1" applyFill="1" applyFont="1">
      <alignment shrinkToFit="0" wrapText="1"/>
    </xf>
    <xf borderId="0" fillId="3" fontId="22" numFmtId="0" xfId="0" applyAlignment="1" applyFill="1" applyFont="1">
      <alignment readingOrder="0" vertical="center"/>
    </xf>
    <xf borderId="0" fillId="0" fontId="20" numFmtId="0" xfId="0" applyAlignment="1" applyFont="1">
      <alignment shrinkToFit="0" wrapText="1"/>
    </xf>
    <xf borderId="0" fillId="0" fontId="20" numFmtId="0" xfId="0" applyFont="1"/>
    <xf borderId="0" fillId="0" fontId="20" numFmtId="0" xfId="0" applyAlignment="1" applyFont="1">
      <alignment horizontal="center"/>
    </xf>
    <xf borderId="0" fillId="0" fontId="20" numFmtId="0" xfId="0" applyAlignment="1" applyFont="1">
      <alignment horizontal="left" shrinkToFit="0" wrapText="1"/>
    </xf>
    <xf borderId="0" fillId="3" fontId="20" numFmtId="0" xfId="0" applyAlignment="1" applyFill="1" applyFont="1">
      <alignment horizontal="left" shrinkToFit="0" vertical="bottom" wrapText="1"/>
    </xf>
    <xf borderId="0" fillId="3" fontId="20" numFmtId="0" xfId="0" applyAlignment="1" applyFill="1" applyFont="1">
      <alignment vertical="bottom"/>
    </xf>
    <xf borderId="0" fillId="3" fontId="20" numFmtId="0" xfId="0" applyFill="1" applyFont="1"/>
    <xf borderId="0" fillId="0" fontId="20" numFmtId="167" xfId="0" applyFont="1" applyNumberFormat="1"/>
    <xf borderId="4" fillId="0" fontId="7" numFmtId="0" xfId="0" applyAlignment="1" applyBorder="1" applyFont="1">
      <alignment readingOrder="0" vertical="center"/>
    </xf>
    <xf borderId="0" fillId="0" fontId="7" numFmtId="0" xfId="0" applyAlignment="1" applyFont="1">
      <alignment readingOrder="0" vertical="center"/>
    </xf>
    <xf borderId="8" fillId="0" fontId="8" numFmtId="0" xfId="0" applyAlignment="1" applyBorder="1" applyFont="1">
      <alignment readingOrder="0" vertical="center"/>
    </xf>
    <xf borderId="0" fillId="0" fontId="8" numFmtId="0" xfId="0" applyAlignment="1" applyFont="1">
      <alignment readingOrder="0" vertical="center"/>
    </xf>
    <xf borderId="10" fillId="0" fontId="8" numFmtId="0" xfId="0" applyAlignment="1" applyBorder="1" applyFont="1">
      <alignment readingOrder="0" shrinkToFit="0" vertical="center" wrapText="0"/>
    </xf>
    <xf borderId="0" fillId="0" fontId="8" numFmtId="0" xfId="0" applyAlignment="1" applyFont="1">
      <alignment readingOrder="0" shrinkToFit="0" vertical="center" wrapText="0"/>
    </xf>
    <xf borderId="0" fillId="0" fontId="9" numFmtId="0" xfId="0" applyAlignment="1" applyFont="1">
      <alignment horizontal="right" readingOrder="0" shrinkToFit="0" vertical="center" wrapText="1"/>
    </xf>
    <xf borderId="0" fillId="0" fontId="23" numFmtId="0" xfId="0" applyAlignment="1" applyFont="1">
      <alignment readingOrder="0"/>
    </xf>
    <xf borderId="1" fillId="2" fontId="24" numFmtId="0" xfId="0" applyAlignment="1" applyBorder="1" applyFill="1" applyFont="1">
      <alignment readingOrder="0"/>
    </xf>
    <xf borderId="1" fillId="2" fontId="24" numFmtId="0" xfId="0" applyAlignment="1" applyBorder="1" applyFill="1" applyFont="1">
      <alignment horizontal="center" readingOrder="0"/>
    </xf>
    <xf borderId="1" fillId="10" fontId="24" numFmtId="0" xfId="0" applyAlignment="1" applyBorder="1" applyFill="1" applyFont="1">
      <alignment readingOrder="0"/>
    </xf>
    <xf borderId="1" fillId="0" fontId="2" numFmtId="0" xfId="0" applyAlignment="1" applyBorder="1" applyFont="1">
      <alignment readingOrder="0"/>
    </xf>
    <xf borderId="1" fillId="11" fontId="24" numFmtId="0" xfId="0" applyAlignment="1" applyBorder="1" applyFill="1" applyFont="1">
      <alignment readingOrder="0"/>
    </xf>
    <xf borderId="1" fillId="12" fontId="24" numFmtId="0" xfId="0" applyAlignment="1" applyBorder="1" applyFill="1" applyFont="1">
      <alignment readingOrder="0"/>
    </xf>
    <xf borderId="1" fillId="13" fontId="24" numFmtId="0" xfId="0" applyAlignment="1" applyBorder="1" applyFill="1" applyFont="1">
      <alignment readingOrder="0"/>
    </xf>
    <xf borderId="1" fillId="14" fontId="24" numFmtId="0" xfId="0" applyAlignment="1" applyBorder="1" applyFill="1" applyFont="1">
      <alignment readingOrder="0"/>
    </xf>
    <xf borderId="1" fillId="3" fontId="24" numFmtId="0" xfId="0" applyAlignment="1" applyBorder="1" applyFill="1" applyFont="1">
      <alignment readingOrder="0"/>
    </xf>
    <xf borderId="0" fillId="3" fontId="0" numFmtId="0" xfId="0" applyAlignment="1" applyFill="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Risk Trend - Category</a:t>
            </a:r>
          </a:p>
        </c:rich>
      </c:tx>
      <c:overlay val="0"/>
    </c:title>
    <c:plotArea>
      <c:layout/>
      <c:barChart>
        <c:barDir val="col"/>
        <c:ser>
          <c:idx val="0"/>
          <c:order val="0"/>
          <c:tx>
            <c:strRef>
              <c:f>Summary!$B$24</c:f>
            </c:strRef>
          </c:tx>
          <c:spPr>
            <a:solidFill>
              <a:srgbClr val="4285F4"/>
            </a:solidFill>
            <a:ln cmpd="sng">
              <a:noFill/>
            </a:ln>
          </c:spPr>
          <c:invertIfNegative val="0"/>
          <c:cat>
            <c:strRef>
              <c:f>Summary!$A$25:$A$32</c:f>
            </c:strRef>
          </c:cat>
          <c:val>
            <c:numRef>
              <c:f>Summary!$B$25:$B$32</c:f>
              <c:numCache/>
            </c:numRef>
          </c:val>
        </c:ser>
        <c:ser>
          <c:idx val="1"/>
          <c:order val="1"/>
          <c:tx>
            <c:strRef>
              <c:f>Summary!$C$24</c:f>
            </c:strRef>
          </c:tx>
          <c:spPr>
            <a:solidFill>
              <a:srgbClr val="DB4437"/>
            </a:solidFill>
            <a:ln cmpd="sng">
              <a:noFill/>
            </a:ln>
          </c:spPr>
          <c:invertIfNegative val="0"/>
          <c:cat>
            <c:strRef>
              <c:f>Summary!$A$25:$A$32</c:f>
            </c:strRef>
          </c:cat>
          <c:val>
            <c:numRef>
              <c:f>Summary!$C$25:$C$32</c:f>
              <c:numCache/>
            </c:numRef>
          </c:val>
        </c:ser>
        <c:ser>
          <c:idx val="2"/>
          <c:order val="2"/>
          <c:tx>
            <c:strRef>
              <c:f>Summary!$D$24</c:f>
            </c:strRef>
          </c:tx>
          <c:spPr>
            <a:solidFill>
              <a:srgbClr val="F4B400"/>
            </a:solidFill>
            <a:ln cmpd="sng">
              <a:noFill/>
            </a:ln>
          </c:spPr>
          <c:invertIfNegative val="0"/>
          <c:cat>
            <c:strRef>
              <c:f>Summary!$A$25:$A$32</c:f>
            </c:strRef>
          </c:cat>
          <c:val>
            <c:numRef>
              <c:f>Summary!$D$25:$D$32</c:f>
              <c:numCache/>
            </c:numRef>
          </c:val>
        </c:ser>
        <c:ser>
          <c:idx val="3"/>
          <c:order val="3"/>
          <c:tx>
            <c:strRef>
              <c:f>Summary!$E$24</c:f>
            </c:strRef>
          </c:tx>
          <c:spPr>
            <a:solidFill>
              <a:srgbClr val="0F9D58"/>
            </a:solidFill>
            <a:ln cmpd="sng">
              <a:noFill/>
            </a:ln>
          </c:spPr>
          <c:invertIfNegative val="0"/>
          <c:cat>
            <c:strRef>
              <c:f>Summary!$A$25:$A$32</c:f>
            </c:strRef>
          </c:cat>
          <c:val>
            <c:numRef>
              <c:f>Summary!$E$25:$E$32</c:f>
              <c:numCache/>
            </c:numRef>
          </c:val>
        </c:ser>
        <c:axId val="294093874"/>
        <c:axId val="1589826465"/>
      </c:barChart>
      <c:catAx>
        <c:axId val="29409387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Risk Category</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589826465"/>
      </c:catAx>
      <c:valAx>
        <c:axId val="15898264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294093874"/>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Risk Trend - Count</a:t>
            </a:r>
          </a:p>
        </c:rich>
      </c:tx>
      <c:overlay val="0"/>
    </c:title>
    <c:plotArea>
      <c:layout/>
      <c:barChart>
        <c:barDir val="col"/>
        <c:ser>
          <c:idx val="0"/>
          <c:order val="0"/>
          <c:tx>
            <c:strRef>
              <c:f>Summary!$B$10</c:f>
            </c:strRef>
          </c:tx>
          <c:spPr>
            <a:solidFill>
              <a:srgbClr val="4285F4"/>
            </a:solidFill>
            <a:ln cmpd="sng">
              <a:noFill/>
            </a:ln>
          </c:spPr>
          <c:invertIfNegative val="0"/>
          <c:cat>
            <c:strRef>
              <c:f>Summary!$A$11:$A$15</c:f>
            </c:strRef>
          </c:cat>
          <c:val>
            <c:numRef>
              <c:f>Summary!$B$11:$B$15</c:f>
              <c:numCache/>
            </c:numRef>
          </c:val>
        </c:ser>
        <c:ser>
          <c:idx val="1"/>
          <c:order val="1"/>
          <c:tx>
            <c:strRef>
              <c:f>Summary!$C$10</c:f>
            </c:strRef>
          </c:tx>
          <c:spPr>
            <a:solidFill>
              <a:srgbClr val="DB4437"/>
            </a:solidFill>
            <a:ln cmpd="sng">
              <a:noFill/>
            </a:ln>
          </c:spPr>
          <c:invertIfNegative val="0"/>
          <c:cat>
            <c:strRef>
              <c:f>Summary!$A$11:$A$15</c:f>
            </c:strRef>
          </c:cat>
          <c:val>
            <c:numRef>
              <c:f>Summary!$C$11:$C$15</c:f>
              <c:numCache/>
            </c:numRef>
          </c:val>
        </c:ser>
        <c:ser>
          <c:idx val="2"/>
          <c:order val="2"/>
          <c:tx>
            <c:strRef>
              <c:f>Summary!$D$10</c:f>
            </c:strRef>
          </c:tx>
          <c:spPr>
            <a:solidFill>
              <a:srgbClr val="F4B400"/>
            </a:solidFill>
            <a:ln cmpd="sng">
              <a:noFill/>
            </a:ln>
          </c:spPr>
          <c:invertIfNegative val="0"/>
          <c:cat>
            <c:strRef>
              <c:f>Summary!$A$11:$A$15</c:f>
            </c:strRef>
          </c:cat>
          <c:val>
            <c:numRef>
              <c:f>Summary!$D$11:$D$15</c:f>
              <c:numCache/>
            </c:numRef>
          </c:val>
        </c:ser>
        <c:ser>
          <c:idx val="3"/>
          <c:order val="3"/>
          <c:tx>
            <c:strRef>
              <c:f>Summary!$E$10</c:f>
            </c:strRef>
          </c:tx>
          <c:spPr>
            <a:solidFill>
              <a:srgbClr val="0F9D58"/>
            </a:solidFill>
            <a:ln cmpd="sng">
              <a:noFill/>
            </a:ln>
          </c:spPr>
          <c:invertIfNegative val="0"/>
          <c:cat>
            <c:strRef>
              <c:f>Summary!$A$11:$A$15</c:f>
            </c:strRef>
          </c:cat>
          <c:val>
            <c:numRef>
              <c:f>Summary!$E$11:$E$15</c:f>
              <c:numCache/>
            </c:numRef>
          </c:val>
        </c:ser>
        <c:axId val="1361529968"/>
        <c:axId val="1197613800"/>
      </c:barChart>
      <c:catAx>
        <c:axId val="136152996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197613800"/>
      </c:catAx>
      <c:valAx>
        <c:axId val="11976138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361529968"/>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Risk Count - Risk Origin</a:t>
            </a:r>
          </a:p>
        </c:rich>
      </c:tx>
      <c:overlay val="0"/>
    </c:title>
    <c:plotArea>
      <c:layout/>
      <c:barChart>
        <c:barDir val="bar"/>
        <c:ser>
          <c:idx val="0"/>
          <c:order val="0"/>
          <c:tx>
            <c:strRef>
              <c:f>Summary!$B$39</c:f>
            </c:strRef>
          </c:tx>
          <c:spPr>
            <a:solidFill>
              <a:srgbClr val="4285F4"/>
            </a:solidFill>
            <a:ln cmpd="sng">
              <a:noFill/>
            </a:ln>
          </c:spPr>
          <c:invertIfNegative val="0"/>
          <c:cat>
            <c:strRef>
              <c:f>Summary!$A$40:$A$62</c:f>
            </c:strRef>
          </c:cat>
          <c:val>
            <c:numRef>
              <c:f>Summary!$B$40:$B$62</c:f>
              <c:numCache/>
            </c:numRef>
          </c:val>
        </c:ser>
        <c:ser>
          <c:idx val="1"/>
          <c:order val="1"/>
          <c:tx>
            <c:strRef>
              <c:f>Summary!$C$39</c:f>
            </c:strRef>
          </c:tx>
          <c:spPr>
            <a:solidFill>
              <a:srgbClr val="DB4437"/>
            </a:solidFill>
            <a:ln cmpd="sng">
              <a:noFill/>
            </a:ln>
          </c:spPr>
          <c:invertIfNegative val="0"/>
          <c:cat>
            <c:strRef>
              <c:f>Summary!$A$40:$A$62</c:f>
            </c:strRef>
          </c:cat>
          <c:val>
            <c:numRef>
              <c:f>Summary!$C$40:$C$62</c:f>
              <c:numCache/>
            </c:numRef>
          </c:val>
        </c:ser>
        <c:ser>
          <c:idx val="2"/>
          <c:order val="2"/>
          <c:tx>
            <c:strRef>
              <c:f>Summary!$D$39</c:f>
            </c:strRef>
          </c:tx>
          <c:spPr>
            <a:solidFill>
              <a:srgbClr val="F4B400"/>
            </a:solidFill>
            <a:ln cmpd="sng">
              <a:noFill/>
            </a:ln>
          </c:spPr>
          <c:invertIfNegative val="0"/>
          <c:cat>
            <c:strRef>
              <c:f>Summary!$A$40:$A$62</c:f>
            </c:strRef>
          </c:cat>
          <c:val>
            <c:numRef>
              <c:f>Summary!$D$40:$D$62</c:f>
              <c:numCache/>
            </c:numRef>
          </c:val>
        </c:ser>
        <c:ser>
          <c:idx val="3"/>
          <c:order val="3"/>
          <c:tx>
            <c:strRef>
              <c:f>Summary!$E$39</c:f>
            </c:strRef>
          </c:tx>
          <c:spPr>
            <a:solidFill>
              <a:srgbClr val="0F9D58"/>
            </a:solidFill>
            <a:ln cmpd="sng">
              <a:noFill/>
            </a:ln>
          </c:spPr>
          <c:invertIfNegative val="0"/>
          <c:cat>
            <c:strRef>
              <c:f>Summary!$A$40:$A$62</c:f>
            </c:strRef>
          </c:cat>
          <c:val>
            <c:numRef>
              <c:f>Summary!$E$40:$E$62</c:f>
              <c:numCache/>
            </c:numRef>
          </c:val>
        </c:ser>
        <c:axId val="1356356876"/>
        <c:axId val="1138981937"/>
      </c:barChart>
      <c:catAx>
        <c:axId val="1356356876"/>
        <c:scaling>
          <c:orientation val="maxMin"/>
        </c:scaling>
        <c:delete val="0"/>
        <c:axPos val="l"/>
        <c:title>
          <c:tx>
            <c:rich>
              <a:bodyPr/>
              <a:lstStyle/>
              <a:p>
                <a:pPr lvl="0">
                  <a:defRPr b="0">
                    <a:solidFill>
                      <a:srgbClr val="000000"/>
                    </a:solidFill>
                    <a:latin typeface="Roboto"/>
                  </a:defRPr>
                </a:pPr>
                <a:r>
                  <a:rPr b="0">
                    <a:solidFill>
                      <a:srgbClr val="000000"/>
                    </a:solidFill>
                    <a:latin typeface="Roboto"/>
                  </a:rPr>
                  <a:t>Risk Origin</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138981937"/>
      </c:catAx>
      <c:valAx>
        <c:axId val="113898193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356356876"/>
        <c:crosses val="max"/>
      </c:valAx>
    </c:plotArea>
    <c:legend>
      <c:legendPos val="r"/>
      <c:overlay val="0"/>
      <c:txPr>
        <a:bodyPr/>
        <a:lstStyle/>
        <a:p>
          <a:pPr lvl="0">
            <a:defRPr b="0">
              <a:solidFill>
                <a:srgbClr val="000000"/>
              </a:solidFill>
              <a:latin typeface="Roboto"/>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38150" cy="2476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323850</xdr:colOff>
      <xdr:row>21</xdr:row>
      <xdr:rowOff>114300</xdr:rowOff>
    </xdr:from>
    <xdr:ext cx="4143375" cy="26003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304800</xdr:colOff>
      <xdr:row>7</xdr:row>
      <xdr:rowOff>38100</xdr:rowOff>
    </xdr:from>
    <xdr:ext cx="4162425" cy="26003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304800</xdr:colOff>
      <xdr:row>38</xdr:row>
      <xdr:rowOff>19050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0</xdr:row>
      <xdr:rowOff>0</xdr:rowOff>
    </xdr:from>
    <xdr:ext cx="342900" cy="2000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429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confluence.sun-asterisk.com/display/PAOP/PAOP_ProjectRiskManagement" TargetMode="External"/><Relationship Id="rId3" Type="http://schemas.openxmlformats.org/officeDocument/2006/relationships/drawing" Target="../drawings/drawing4.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showGridLines="0" workbookViewId="0">
      <pane ySplit="7.0" topLeftCell="A8" activePane="bottomLeft" state="frozen"/>
      <selection activeCell="B9" sqref="B9" pane="bottomLeft"/>
    </sheetView>
  </sheetViews>
  <sheetFormatPr customHeight="1" defaultColWidth="12.63" defaultRowHeight="15.75"/>
  <cols>
    <col customWidth="1" min="1" max="1" width="5.75"/>
    <col customWidth="1" min="2" max="2" width="4.63"/>
    <col customWidth="1" min="3" max="3" width="6.38"/>
    <col customWidth="1" min="4" max="4" width="3.5"/>
    <col customWidth="1" min="5" max="9" width="9.75"/>
    <col customWidth="1" min="10" max="10" width="13.75"/>
    <col customWidth="1" min="11" max="11" width="19.88"/>
  </cols>
  <sheetData>
    <row r="1" ht="22.5" customHeight="1">
      <c r="A1" s="5"/>
      <c r="B1" s="6"/>
      <c r="C1" s="6"/>
      <c r="D1" s="6"/>
      <c r="E1" s="11" t="s">
        <v>3</v>
      </c>
      <c r="F1" s="6"/>
      <c r="G1" s="6"/>
      <c r="H1" s="6"/>
      <c r="I1" s="6"/>
      <c r="J1" s="12" t="s">
        <v>18</v>
      </c>
      <c r="K1" s="13"/>
    </row>
    <row r="2" ht="22.5" customHeight="1">
      <c r="A2" s="15"/>
      <c r="E2" s="15"/>
      <c r="J2" s="16" t="s">
        <v>36</v>
      </c>
      <c r="K2" s="17"/>
    </row>
    <row r="3" ht="22.5" customHeight="1">
      <c r="A3" s="15"/>
      <c r="E3" s="15"/>
      <c r="J3" s="21" t="s">
        <v>37</v>
      </c>
      <c r="K3" s="22"/>
    </row>
    <row r="4" ht="22.5" customHeight="1">
      <c r="A4" s="24" t="s">
        <v>38</v>
      </c>
      <c r="B4" s="3"/>
      <c r="C4" s="3"/>
      <c r="D4" s="3"/>
      <c r="E4" s="3"/>
      <c r="F4" s="3"/>
      <c r="G4" s="3"/>
      <c r="H4" s="3"/>
      <c r="I4" s="7"/>
      <c r="J4" s="28" t="s">
        <v>39</v>
      </c>
      <c r="K4" s="22"/>
    </row>
    <row r="5" ht="16.5" customHeight="1">
      <c r="A5" s="29"/>
      <c r="K5" s="30"/>
    </row>
    <row r="6" ht="21.75" customHeight="1">
      <c r="A6" s="31" t="s">
        <v>42</v>
      </c>
      <c r="K6" s="30"/>
    </row>
    <row r="7" ht="20.25" customHeight="1">
      <c r="A7" s="33" t="s">
        <v>43</v>
      </c>
      <c r="B7" s="35" t="s">
        <v>44</v>
      </c>
      <c r="C7" s="3"/>
      <c r="D7" s="7"/>
      <c r="E7" s="35" t="s">
        <v>46</v>
      </c>
      <c r="F7" s="3"/>
      <c r="G7" s="3"/>
      <c r="H7" s="3"/>
      <c r="I7" s="7"/>
      <c r="J7" s="35" t="s">
        <v>48</v>
      </c>
      <c r="K7" s="7"/>
    </row>
    <row r="8" ht="22.5" customHeight="1">
      <c r="A8" s="45">
        <v>1.0</v>
      </c>
      <c r="B8" s="47"/>
      <c r="C8" s="3"/>
      <c r="D8" s="7"/>
      <c r="E8" s="47" t="s">
        <v>55</v>
      </c>
      <c r="F8" s="3"/>
      <c r="G8" s="3"/>
      <c r="H8" s="3"/>
      <c r="I8" s="7"/>
      <c r="J8" s="47" t="s">
        <v>59</v>
      </c>
      <c r="K8" s="7"/>
    </row>
    <row r="9" ht="22.5" customHeight="1">
      <c r="A9" s="45">
        <v>2.0</v>
      </c>
      <c r="B9" s="47"/>
      <c r="C9" s="3"/>
      <c r="D9" s="7"/>
      <c r="E9" s="47" t="s">
        <v>63</v>
      </c>
      <c r="F9" s="3"/>
      <c r="G9" s="3"/>
      <c r="H9" s="3"/>
      <c r="I9" s="7"/>
      <c r="J9" s="53">
        <v>44320.0</v>
      </c>
      <c r="K9" s="7"/>
    </row>
    <row r="10">
      <c r="A10" s="45">
        <v>3.0</v>
      </c>
      <c r="B10" s="54" t="s">
        <v>69</v>
      </c>
      <c r="C10" s="6"/>
      <c r="D10" s="13"/>
      <c r="E10" s="54" t="s">
        <v>72</v>
      </c>
      <c r="F10" s="6"/>
      <c r="G10" s="6"/>
      <c r="H10" s="6"/>
      <c r="I10" s="13"/>
      <c r="J10" s="53">
        <v>44202.0</v>
      </c>
      <c r="K10" s="7"/>
    </row>
    <row r="11">
      <c r="A11" s="45">
        <v>4.0</v>
      </c>
      <c r="B11" s="56"/>
      <c r="C11" s="3"/>
      <c r="D11" s="7"/>
      <c r="E11" s="58" t="s">
        <v>80</v>
      </c>
      <c r="F11" s="3"/>
      <c r="G11" s="3"/>
      <c r="H11" s="3"/>
      <c r="I11" s="7"/>
      <c r="J11" s="59">
        <v>44510.0</v>
      </c>
      <c r="K11" s="7"/>
    </row>
    <row r="12">
      <c r="A12" s="60">
        <v>5.0</v>
      </c>
      <c r="B12" s="56" t="s">
        <v>86</v>
      </c>
      <c r="C12" s="3"/>
      <c r="D12" s="7"/>
      <c r="E12" s="61" t="s">
        <v>87</v>
      </c>
      <c r="F12" s="3"/>
      <c r="G12" s="3"/>
      <c r="H12" s="3"/>
      <c r="I12" s="7"/>
      <c r="J12" s="47" t="s">
        <v>90</v>
      </c>
      <c r="K12" s="7"/>
    </row>
    <row r="13" ht="43.5" customHeight="1">
      <c r="A13" s="63">
        <v>6.0</v>
      </c>
      <c r="B13" s="64" t="s">
        <v>92</v>
      </c>
      <c r="C13" s="3"/>
      <c r="D13" s="7"/>
      <c r="E13" s="65" t="s">
        <v>96</v>
      </c>
      <c r="F13" s="3"/>
      <c r="G13" s="3"/>
      <c r="H13" s="3"/>
      <c r="I13" s="7"/>
      <c r="J13" s="66" t="s">
        <v>104</v>
      </c>
      <c r="K13" s="7"/>
    </row>
    <row r="14" ht="43.5" customHeight="1">
      <c r="A14" s="68">
        <v>7.0</v>
      </c>
      <c r="B14" s="64" t="s">
        <v>86</v>
      </c>
      <c r="C14" s="3"/>
      <c r="D14" s="7"/>
      <c r="E14" s="65" t="s">
        <v>112</v>
      </c>
      <c r="F14" s="3"/>
      <c r="G14" s="3"/>
      <c r="H14" s="3"/>
      <c r="I14" s="7"/>
      <c r="J14" s="73">
        <v>45455.0</v>
      </c>
      <c r="K14" s="7"/>
    </row>
    <row r="15" ht="43.5" customHeight="1">
      <c r="A15" s="75" t="s">
        <v>114</v>
      </c>
      <c r="B15" s="76" t="s">
        <v>117</v>
      </c>
      <c r="E15" s="76" t="s">
        <v>118</v>
      </c>
      <c r="J15" s="77" t="s">
        <v>121</v>
      </c>
    </row>
    <row r="16" ht="22.5" customHeight="1">
      <c r="A16" s="78"/>
      <c r="B16" s="79"/>
      <c r="C16" s="79"/>
      <c r="D16" s="79"/>
      <c r="E16" s="79"/>
      <c r="F16" s="79"/>
      <c r="G16" s="79"/>
      <c r="H16" s="79"/>
      <c r="I16" s="79"/>
      <c r="J16" s="79"/>
      <c r="K16" s="80"/>
    </row>
    <row r="17" ht="22.5" customHeight="1">
      <c r="A17" s="78"/>
      <c r="B17" s="79"/>
      <c r="C17" s="79"/>
      <c r="D17" s="79"/>
      <c r="E17" s="79"/>
      <c r="F17" s="79"/>
      <c r="G17" s="79"/>
      <c r="H17" s="79"/>
      <c r="I17" s="79"/>
      <c r="J17" s="79"/>
      <c r="K17" s="80"/>
    </row>
    <row r="18" ht="22.5" customHeight="1">
      <c r="A18" s="78"/>
      <c r="B18" s="79"/>
      <c r="C18" s="79"/>
      <c r="D18" s="79"/>
      <c r="E18" s="79"/>
      <c r="F18" s="79"/>
      <c r="G18" s="79"/>
      <c r="H18" s="79"/>
      <c r="I18" s="79"/>
      <c r="J18" s="79"/>
      <c r="K18" s="80"/>
    </row>
    <row r="19" ht="22.5" customHeight="1">
      <c r="A19" s="78"/>
      <c r="B19" s="79"/>
      <c r="C19" s="79"/>
      <c r="D19" s="79"/>
      <c r="E19" s="79"/>
      <c r="F19" s="79"/>
      <c r="G19" s="79"/>
      <c r="H19" s="79"/>
      <c r="I19" s="79"/>
      <c r="J19" s="79"/>
      <c r="K19" s="80"/>
    </row>
    <row r="20" ht="22.5" customHeight="1">
      <c r="A20" s="78"/>
      <c r="B20" s="79"/>
      <c r="C20" s="79"/>
      <c r="D20" s="79"/>
      <c r="E20" s="79"/>
      <c r="F20" s="79"/>
      <c r="G20" s="79"/>
      <c r="H20" s="79"/>
      <c r="I20" s="79"/>
      <c r="J20" s="79"/>
      <c r="K20" s="80"/>
    </row>
    <row r="21" ht="22.5" customHeight="1">
      <c r="A21" s="78"/>
      <c r="B21" s="79"/>
      <c r="C21" s="79"/>
      <c r="D21" s="79"/>
      <c r="E21" s="79"/>
      <c r="F21" s="79"/>
      <c r="G21" s="79"/>
      <c r="H21" s="79"/>
      <c r="I21" s="79"/>
      <c r="J21" s="79"/>
      <c r="K21" s="80"/>
    </row>
    <row r="22" ht="22.5" customHeight="1">
      <c r="A22" s="81"/>
      <c r="B22" s="82"/>
      <c r="C22" s="82"/>
      <c r="D22" s="82"/>
      <c r="E22" s="82"/>
      <c r="F22" s="82"/>
      <c r="G22" s="82"/>
      <c r="H22" s="82"/>
      <c r="I22" s="82"/>
      <c r="J22" s="82"/>
      <c r="K22" s="83"/>
    </row>
  </sheetData>
  <mergeCells count="36">
    <mergeCell ref="A1:D3"/>
    <mergeCell ref="E1:I3"/>
    <mergeCell ref="J1:K1"/>
    <mergeCell ref="J2:K2"/>
    <mergeCell ref="J3:K3"/>
    <mergeCell ref="A4:I4"/>
    <mergeCell ref="J4:K4"/>
    <mergeCell ref="A5:K5"/>
    <mergeCell ref="A6:K6"/>
    <mergeCell ref="B7:D7"/>
    <mergeCell ref="E7:I7"/>
    <mergeCell ref="J7:K7"/>
    <mergeCell ref="E8:I8"/>
    <mergeCell ref="J8:K8"/>
    <mergeCell ref="B8:D8"/>
    <mergeCell ref="B9:D9"/>
    <mergeCell ref="E9:I9"/>
    <mergeCell ref="J9:K9"/>
    <mergeCell ref="B10:D10"/>
    <mergeCell ref="E10:I10"/>
    <mergeCell ref="J10:K10"/>
    <mergeCell ref="E13:I13"/>
    <mergeCell ref="J13:K13"/>
    <mergeCell ref="B14:D14"/>
    <mergeCell ref="E14:I14"/>
    <mergeCell ref="J14:K14"/>
    <mergeCell ref="B15:D15"/>
    <mergeCell ref="E15:I15"/>
    <mergeCell ref="J15:K15"/>
    <mergeCell ref="B11:D11"/>
    <mergeCell ref="E11:I11"/>
    <mergeCell ref="J11:K11"/>
    <mergeCell ref="B12:D12"/>
    <mergeCell ref="E12:I12"/>
    <mergeCell ref="J12:K12"/>
    <mergeCell ref="B13:D13"/>
  </mergeCells>
  <printOptions horizontalCentered="1"/>
  <pageMargins bottom="0.75" footer="0.0" header="0.0" left="0.7" right="0.7" top="0.75"/>
  <pageSetup fitToHeight="0" paperSize="9"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16.0"/>
  </cols>
  <sheetData>
    <row r="1">
      <c r="A1" s="5"/>
      <c r="B1" s="6"/>
      <c r="C1" s="11" t="s">
        <v>218</v>
      </c>
      <c r="D1" s="6"/>
      <c r="E1" s="6"/>
      <c r="F1" s="6"/>
      <c r="G1" s="6"/>
      <c r="H1" s="6"/>
      <c r="I1" s="156" t="s">
        <v>18</v>
      </c>
      <c r="J1" s="6"/>
      <c r="K1" s="13"/>
      <c r="L1" s="157"/>
      <c r="M1" s="157"/>
      <c r="N1" s="157"/>
    </row>
    <row r="2">
      <c r="A2" s="15"/>
      <c r="C2" s="15"/>
      <c r="I2" s="158" t="s">
        <v>36</v>
      </c>
      <c r="K2" s="17"/>
      <c r="L2" s="159"/>
      <c r="M2" s="159"/>
      <c r="N2" s="159"/>
    </row>
    <row r="3">
      <c r="A3" s="15"/>
      <c r="C3" s="15"/>
      <c r="I3" s="160" t="s">
        <v>37</v>
      </c>
      <c r="J3" s="20"/>
      <c r="K3" s="22"/>
      <c r="L3" s="161"/>
      <c r="M3" s="161"/>
      <c r="N3" s="161"/>
    </row>
    <row r="4">
      <c r="A4" s="24" t="s">
        <v>38</v>
      </c>
      <c r="B4" s="3"/>
      <c r="C4" s="3"/>
      <c r="D4" s="3"/>
      <c r="E4" s="3"/>
      <c r="F4" s="3"/>
      <c r="G4" s="3"/>
      <c r="H4" s="3"/>
      <c r="I4" s="28" t="s">
        <v>39</v>
      </c>
      <c r="J4" s="20"/>
      <c r="K4" s="22"/>
      <c r="L4" s="162"/>
      <c r="M4" s="162"/>
      <c r="N4" s="162"/>
    </row>
    <row r="5">
      <c r="A5" s="163"/>
    </row>
    <row r="6">
      <c r="A6" s="163"/>
    </row>
    <row r="7">
      <c r="A7" s="163"/>
    </row>
    <row r="8">
      <c r="A8" s="163" t="s">
        <v>219</v>
      </c>
    </row>
    <row r="9">
      <c r="A9" s="163"/>
    </row>
    <row r="10">
      <c r="A10" s="164"/>
      <c r="B10" s="165" t="s">
        <v>201</v>
      </c>
      <c r="C10" s="165" t="s">
        <v>213</v>
      </c>
      <c r="D10" s="165" t="s">
        <v>215</v>
      </c>
      <c r="E10" s="165" t="s">
        <v>168</v>
      </c>
    </row>
    <row r="11">
      <c r="A11" s="166" t="s">
        <v>220</v>
      </c>
      <c r="B11" s="167">
        <f>COUNTIFS('Risk Management'!$L:$L,"Critical",'Risk Management'!$U:$U,"Identified")</f>
        <v>0</v>
      </c>
      <c r="C11" s="167">
        <f>COUNTIFS('Risk Management'!$L:$L,"Critical",'Risk Management'!$U:$U,"Mitigating")</f>
        <v>0</v>
      </c>
      <c r="D11" s="167">
        <f>COUNTIFS('Risk Management'!$L:$L,"Critical",'Risk Management'!$U:$U,"Occurred")</f>
        <v>0</v>
      </c>
      <c r="E11" s="167">
        <f>COUNTIFS('Risk Management'!$L:$L,"Critical",'Risk Management'!$U:$U,"Closed")</f>
        <v>0</v>
      </c>
    </row>
    <row r="12">
      <c r="A12" s="168" t="s">
        <v>221</v>
      </c>
      <c r="B12" s="167">
        <f>COUNTIFS('Risk Management'!$L:$L,"Extreme",'Risk Management'!$U:$U,"Identified")</f>
        <v>0</v>
      </c>
      <c r="C12" s="167">
        <f>COUNTIFS('Risk Management'!$L:$L,"Extreme",'Risk Management'!$U:$U,"Mitigating")</f>
        <v>0</v>
      </c>
      <c r="D12" s="167">
        <f>COUNTIFS('Risk Management'!$L:$L,"Extreme",'Risk Management'!$U:$U,"Occurred")</f>
        <v>0</v>
      </c>
      <c r="E12" s="167">
        <f>COUNTIFS('Risk Management'!$L:$L,"Extreme",'Risk Management'!$U:$U,"Closed")</f>
        <v>0</v>
      </c>
    </row>
    <row r="13">
      <c r="A13" s="169" t="s">
        <v>145</v>
      </c>
      <c r="B13" s="167">
        <f>COUNTIFS('Risk Management'!$L:$L,"High",'Risk Management'!$U:$U,"Identified")</f>
        <v>0</v>
      </c>
      <c r="C13" s="167">
        <f>COUNTIFS('Risk Management'!$L:$L,"High",'Risk Management'!$U:$U,"Mitigating")</f>
        <v>0</v>
      </c>
      <c r="D13" s="167">
        <f>COUNTIFS('Risk Management'!$L:$L,"High",'Risk Management'!$U:$U,"Occurred")</f>
        <v>0</v>
      </c>
      <c r="E13" s="167">
        <f>COUNTIFS('Risk Management'!$L:$L,"High",'Risk Management'!$U:$U,"Closed")</f>
        <v>0</v>
      </c>
    </row>
    <row r="14">
      <c r="A14" s="170" t="s">
        <v>222</v>
      </c>
      <c r="B14" s="167">
        <f>COUNTIFS('Risk Management'!$L:$L,"Medium",'Risk Management'!$U:$U,"Identified")</f>
        <v>0</v>
      </c>
      <c r="C14" s="167">
        <f>COUNTIFS('Risk Management'!$L:$L,"Medium",'Risk Management'!$U:$U,"Mitigating")</f>
        <v>0</v>
      </c>
      <c r="D14" s="167">
        <f>COUNTIFS('Risk Management'!$L:$L,"Medium",'Risk Management'!$U:$U,"Occurred")</f>
        <v>0</v>
      </c>
      <c r="E14" s="167">
        <f>COUNTIFS('Risk Management'!$L:$L,"Medium",'Risk Management'!$U:$U,"Closed")</f>
        <v>0</v>
      </c>
    </row>
    <row r="15">
      <c r="A15" s="171" t="s">
        <v>147</v>
      </c>
      <c r="B15" s="167">
        <f>COUNTIFS('Risk Management'!$L:$L,"Low",'Risk Management'!$U:$U,"Identified")</f>
        <v>0</v>
      </c>
      <c r="C15" s="167">
        <f>COUNTIFS('Risk Management'!$L:$L,"CLow",'Risk Management'!$U:$U,"Mitigating")</f>
        <v>0</v>
      </c>
      <c r="D15" s="167">
        <f>COUNTIFS('Risk Management'!$L:$L,"Low",'Risk Management'!$U:$U,"Occurred")</f>
        <v>0</v>
      </c>
      <c r="E15" s="167">
        <f>COUNTIFS('Risk Management'!$L:$L,"Low",'Risk Management'!$U:$U,"Closed")</f>
        <v>0</v>
      </c>
    </row>
    <row r="16">
      <c r="A16" s="172" t="s">
        <v>223</v>
      </c>
      <c r="B16" s="167">
        <f t="shared" ref="B16:E16" si="1">SUM(B11:B15)</f>
        <v>0</v>
      </c>
      <c r="C16" s="167">
        <f t="shared" si="1"/>
        <v>0</v>
      </c>
      <c r="D16" s="167">
        <f t="shared" si="1"/>
        <v>0</v>
      </c>
      <c r="E16" s="167">
        <f t="shared" si="1"/>
        <v>0</v>
      </c>
    </row>
    <row r="22">
      <c r="A22" s="163" t="s">
        <v>224</v>
      </c>
    </row>
    <row r="24">
      <c r="A24" s="1" t="s">
        <v>0</v>
      </c>
      <c r="B24" s="165" t="s">
        <v>201</v>
      </c>
      <c r="C24" s="165" t="s">
        <v>213</v>
      </c>
      <c r="D24" s="165" t="s">
        <v>215</v>
      </c>
      <c r="E24" s="165" t="s">
        <v>168</v>
      </c>
    </row>
    <row r="25">
      <c r="A25" s="8" t="s">
        <v>4</v>
      </c>
      <c r="B25" s="167">
        <f>COUNTIFS('Risk Management'!$C:$C,"Financial Risk",'Risk Management'!$U:$U,"Identified")</f>
        <v>0</v>
      </c>
      <c r="C25" s="167">
        <f>COUNTIFS('Risk Management'!$C:$C,"Financial Risk",'Risk Management'!$U:$U,"Mitigating")</f>
        <v>0</v>
      </c>
      <c r="D25" s="167">
        <f>COUNTIFS('Risk Management'!$C:$C,"Financial Risk",'Risk Management'!$U:$U,"Occurred")</f>
        <v>0</v>
      </c>
      <c r="E25" s="167">
        <f>COUNTIFS('Risk Management'!$C:$C,"Financial Risk",'Risk Management'!$U:$U,"Closed")</f>
        <v>0</v>
      </c>
    </row>
    <row r="26">
      <c r="A26" s="8" t="s">
        <v>225</v>
      </c>
      <c r="B26" s="167">
        <f>COUNTIFS('Risk Management'!$C:$C,"Market Risk",'Risk Management'!$U:$U,"Identified")</f>
        <v>0</v>
      </c>
      <c r="C26" s="167">
        <f>COUNTIFS('Risk Management'!$C:$C,"Market Risk",'Risk Management'!$U:$U,"Mitigating")</f>
        <v>0</v>
      </c>
      <c r="D26" s="167">
        <f>COUNTIFS('Risk Management'!$C:$C,"Market Risk",'Risk Management'!$U:$U,"Occurred")</f>
        <v>0</v>
      </c>
      <c r="E26" s="167">
        <f>COUNTIFS('Risk Management'!$C:$C,"Market Risk",'Risk Management'!$U:$U,"Closed")</f>
        <v>0</v>
      </c>
    </row>
    <row r="27">
      <c r="A27" s="8" t="s">
        <v>226</v>
      </c>
      <c r="B27" s="167">
        <f>COUNTIFS('Risk Management'!$C:$C,"Operation Risk",'Risk Management'!$U:$U,"Identified")</f>
        <v>0</v>
      </c>
      <c r="C27" s="167">
        <f>COUNTIFS('Risk Management'!$C:$C,"Operation Risk",'Risk Management'!$U:$U,"Mitigating")</f>
        <v>0</v>
      </c>
      <c r="D27" s="167">
        <f>COUNTIFS('Risk Management'!$C:$C,"Operation Risk",'Risk Management'!$U:$U,"Occurred")</f>
        <v>0</v>
      </c>
      <c r="E27" s="167">
        <f>COUNTIFS('Risk Management'!$C:$C,"Operation Risk",'Risk Management'!$U:$U,"Closed")</f>
        <v>0</v>
      </c>
    </row>
    <row r="28">
      <c r="A28" s="9" t="s">
        <v>227</v>
      </c>
      <c r="B28" s="167">
        <f>COUNTIFS('Risk Management'!$C:$C,"Information Security Risk",'Risk Management'!$U:$U,"Identified")</f>
        <v>0</v>
      </c>
      <c r="C28" s="167">
        <f>COUNTIFS('Risk Management'!$C:$C,"Information Security Risk",'Risk Management'!$U:$U,"Mitigating")</f>
        <v>0</v>
      </c>
      <c r="D28" s="167">
        <f>COUNTIFS('Risk Management'!$C:$C,"Information Security Risk",'Risk Management'!$U:$U,"Occurred")</f>
        <v>0</v>
      </c>
      <c r="E28" s="167">
        <f>COUNTIFS('Risk Management'!$C:$C,"Information Security Risk",'Risk Management'!$U:$U,"Closed")</f>
        <v>0</v>
      </c>
    </row>
    <row r="29">
      <c r="A29" s="8" t="s">
        <v>228</v>
      </c>
      <c r="B29" s="167">
        <f>COUNTIFS('Risk Management'!$C:$C,"Compliance Risk",'Risk Management'!$U:$U,"Identified")</f>
        <v>0</v>
      </c>
      <c r="C29" s="167">
        <f>COUNTIFS('Risk Management'!$C:$C,"Compliance Risk",'Risk Management'!$U:$U,"Mitigating")</f>
        <v>0</v>
      </c>
      <c r="D29" s="167">
        <f>COUNTIFS('Risk Management'!$C:$C,"Compliance Risk",'Risk Management'!$U:$U,"Occurred")</f>
        <v>0</v>
      </c>
      <c r="E29" s="167">
        <f>COUNTIFS('Risk Management'!$C:$C,"Compliance Risk",'Risk Management'!$U:$U,"Closed")</f>
        <v>0</v>
      </c>
    </row>
    <row r="30">
      <c r="A30" s="8" t="s">
        <v>229</v>
      </c>
      <c r="B30" s="167">
        <f>COUNTIFS('Risk Management'!$C:$C,"Human Risk",'Risk Management'!$U:$U,"Identified")</f>
        <v>0</v>
      </c>
      <c r="C30" s="167">
        <f>COUNTIFS('Risk Management'!$C:$C,"Human Risk",'Risk Management'!$U:$U,"Mitigating")</f>
        <v>0</v>
      </c>
      <c r="D30" s="167">
        <f>COUNTIFS('Risk Management'!$C:$C,"Human Risk",'Risk Management'!$U:$U,"Occurred")</f>
        <v>0</v>
      </c>
      <c r="E30" s="167">
        <f>COUNTIFS('Risk Management'!$C:$C,"Human Risk",'Risk Management'!$U:$U,"Closed")</f>
        <v>0</v>
      </c>
    </row>
    <row r="31">
      <c r="A31" s="8" t="s">
        <v>230</v>
      </c>
      <c r="B31" s="167">
        <f>COUNTIFS('Risk Management'!$C:$C,"Event Risk",'Risk Management'!$U:$U,"Identified")</f>
        <v>0</v>
      </c>
      <c r="C31" s="167">
        <f>COUNTIFS('Risk Management'!$C:$C,"Event Risk",'Risk Management'!$U:$U,"Mitigating")</f>
        <v>0</v>
      </c>
      <c r="D31" s="167">
        <f>COUNTIFS('Risk Management'!$C:$C,"Event Risk",'Risk Management'!$U:$U,"Occurred")</f>
        <v>0</v>
      </c>
      <c r="E31" s="167">
        <f>COUNTIFS('Risk Management'!$C:$C,"Event Risk",'Risk Management'!$U:$U,"Closed")</f>
        <v>0</v>
      </c>
    </row>
    <row r="32">
      <c r="A32" s="8" t="s">
        <v>35</v>
      </c>
      <c r="B32" s="167">
        <f>COUNTIFS('Risk Management'!$C:$C,"Rumor Risk",'Risk Management'!$U:$U,"Identified")</f>
        <v>0</v>
      </c>
      <c r="C32" s="167">
        <f>COUNTIFS('Risk Management'!$C:$C,"Rumor Risk",'Risk Management'!$U:$U,"Mitigating")</f>
        <v>0</v>
      </c>
      <c r="D32" s="167">
        <f>COUNTIFS('Risk Management'!$C:$C,"Rumor Risk",'Risk Management'!$U:$U,"Occurred")</f>
        <v>0</v>
      </c>
      <c r="E32" s="167">
        <f>COUNTIFS('Risk Management'!$C:$C,"Rumor Risk",'Risk Management'!$U:$U,"Closed")</f>
        <v>0</v>
      </c>
    </row>
    <row r="37">
      <c r="A37" s="163" t="s">
        <v>231</v>
      </c>
    </row>
    <row r="39">
      <c r="A39" s="1" t="s">
        <v>1</v>
      </c>
      <c r="B39" s="165" t="s">
        <v>201</v>
      </c>
      <c r="C39" s="165" t="s">
        <v>213</v>
      </c>
      <c r="D39" s="165" t="s">
        <v>215</v>
      </c>
      <c r="E39" s="165" t="s">
        <v>168</v>
      </c>
    </row>
    <row r="40">
      <c r="A40" s="9" t="s">
        <v>5</v>
      </c>
      <c r="B40" s="167">
        <f t="shared" ref="B40:B62" si="2">COUNTIFS('Risk Management'!$B:$B,A40,'Risk Management'!$U:$U,"Identified")</f>
        <v>0</v>
      </c>
      <c r="C40" s="167">
        <f t="shared" ref="C40:C62" si="3">COUNTIFS('Risk Management'!$B:$B,A40,'Risk Management'!$U:$U,"Mitigating")</f>
        <v>0</v>
      </c>
      <c r="D40" s="167">
        <f t="shared" ref="D40:D62" si="4">COUNTIFS('Risk Management'!$B:$B,A40,'Risk Management'!$U:$U,"Occurred")</f>
        <v>0</v>
      </c>
      <c r="E40" s="167">
        <f t="shared" ref="E40:E62" si="5">COUNTIFS('Risk Management'!$B:$B,A40,'Risk Management'!$U:$U,"Closed")</f>
        <v>0</v>
      </c>
      <c r="G40" s="173"/>
      <c r="H40" s="173"/>
      <c r="I40" s="173"/>
      <c r="J40" s="173"/>
      <c r="K40" s="173"/>
      <c r="L40" s="173"/>
      <c r="M40" s="173"/>
      <c r="N40" s="173"/>
    </row>
    <row r="41">
      <c r="A41" s="9" t="s">
        <v>6</v>
      </c>
      <c r="B41" s="167">
        <f t="shared" si="2"/>
        <v>0</v>
      </c>
      <c r="C41" s="167">
        <f t="shared" si="3"/>
        <v>0</v>
      </c>
      <c r="D41" s="167">
        <f t="shared" si="4"/>
        <v>0</v>
      </c>
      <c r="E41" s="167">
        <f t="shared" si="5"/>
        <v>0</v>
      </c>
      <c r="G41" s="173"/>
      <c r="H41" s="173"/>
      <c r="I41" s="173"/>
      <c r="J41" s="173"/>
      <c r="K41" s="173"/>
      <c r="L41" s="173"/>
      <c r="M41" s="173"/>
      <c r="N41" s="173"/>
    </row>
    <row r="42">
      <c r="A42" s="9" t="s">
        <v>8</v>
      </c>
      <c r="B42" s="167">
        <f t="shared" si="2"/>
        <v>0</v>
      </c>
      <c r="C42" s="167">
        <f t="shared" si="3"/>
        <v>0</v>
      </c>
      <c r="D42" s="167">
        <f t="shared" si="4"/>
        <v>0</v>
      </c>
      <c r="E42" s="167">
        <f t="shared" si="5"/>
        <v>0</v>
      </c>
      <c r="G42" s="173"/>
      <c r="H42" s="173"/>
      <c r="I42" s="173"/>
      <c r="J42" s="173"/>
      <c r="K42" s="173"/>
      <c r="L42" s="173"/>
      <c r="M42" s="173"/>
      <c r="N42" s="173"/>
    </row>
    <row r="43">
      <c r="A43" s="9" t="s">
        <v>10</v>
      </c>
      <c r="B43" s="167">
        <f t="shared" si="2"/>
        <v>0</v>
      </c>
      <c r="C43" s="167">
        <f t="shared" si="3"/>
        <v>0</v>
      </c>
      <c r="D43" s="167">
        <f t="shared" si="4"/>
        <v>0</v>
      </c>
      <c r="E43" s="167">
        <f t="shared" si="5"/>
        <v>0</v>
      </c>
      <c r="G43" s="173"/>
      <c r="H43" s="173"/>
      <c r="I43" s="173"/>
      <c r="J43" s="173"/>
      <c r="K43" s="173"/>
      <c r="L43" s="173"/>
      <c r="M43" s="173"/>
      <c r="N43" s="173"/>
    </row>
    <row r="44">
      <c r="A44" s="9" t="s">
        <v>12</v>
      </c>
      <c r="B44" s="167">
        <f t="shared" si="2"/>
        <v>0</v>
      </c>
      <c r="C44" s="167">
        <f t="shared" si="3"/>
        <v>0</v>
      </c>
      <c r="D44" s="167">
        <f t="shared" si="4"/>
        <v>0</v>
      </c>
      <c r="E44" s="167">
        <f t="shared" si="5"/>
        <v>0</v>
      </c>
      <c r="G44" s="173"/>
      <c r="H44" s="173"/>
      <c r="I44" s="173"/>
      <c r="J44" s="173"/>
      <c r="K44" s="173"/>
      <c r="L44" s="173"/>
      <c r="M44" s="173"/>
      <c r="N44" s="173"/>
    </row>
    <row r="45">
      <c r="A45" s="9" t="s">
        <v>13</v>
      </c>
      <c r="B45" s="167">
        <f t="shared" si="2"/>
        <v>0</v>
      </c>
      <c r="C45" s="167">
        <f t="shared" si="3"/>
        <v>0</v>
      </c>
      <c r="D45" s="167">
        <f t="shared" si="4"/>
        <v>0</v>
      </c>
      <c r="E45" s="167">
        <f t="shared" si="5"/>
        <v>0</v>
      </c>
      <c r="G45" s="173"/>
      <c r="H45" s="173"/>
      <c r="I45" s="173"/>
      <c r="J45" s="173"/>
      <c r="K45" s="173"/>
      <c r="L45" s="173"/>
      <c r="M45" s="173"/>
      <c r="N45" s="173"/>
    </row>
    <row r="46">
      <c r="A46" s="9" t="s">
        <v>14</v>
      </c>
      <c r="B46" s="167">
        <f t="shared" si="2"/>
        <v>0</v>
      </c>
      <c r="C46" s="167">
        <f t="shared" si="3"/>
        <v>0</v>
      </c>
      <c r="D46" s="167">
        <f t="shared" si="4"/>
        <v>0</v>
      </c>
      <c r="E46" s="167">
        <f t="shared" si="5"/>
        <v>0</v>
      </c>
      <c r="G46" s="173"/>
      <c r="H46" s="173"/>
      <c r="I46" s="173"/>
      <c r="J46" s="173"/>
      <c r="K46" s="173"/>
      <c r="L46" s="173"/>
      <c r="M46" s="173"/>
      <c r="N46" s="173"/>
    </row>
    <row r="47">
      <c r="A47" s="9" t="s">
        <v>15</v>
      </c>
      <c r="B47" s="167">
        <f t="shared" si="2"/>
        <v>0</v>
      </c>
      <c r="C47" s="167">
        <f t="shared" si="3"/>
        <v>0</v>
      </c>
      <c r="D47" s="167">
        <f t="shared" si="4"/>
        <v>0</v>
      </c>
      <c r="E47" s="167">
        <f t="shared" si="5"/>
        <v>0</v>
      </c>
      <c r="G47" s="173"/>
      <c r="H47" s="173"/>
      <c r="I47" s="173"/>
      <c r="J47" s="173"/>
      <c r="K47" s="173"/>
      <c r="L47" s="173"/>
      <c r="M47" s="173"/>
      <c r="N47" s="173"/>
    </row>
    <row r="48">
      <c r="A48" s="9" t="s">
        <v>16</v>
      </c>
      <c r="B48" s="167">
        <f t="shared" si="2"/>
        <v>0</v>
      </c>
      <c r="C48" s="167">
        <f t="shared" si="3"/>
        <v>0</v>
      </c>
      <c r="D48" s="167">
        <f t="shared" si="4"/>
        <v>0</v>
      </c>
      <c r="E48" s="167">
        <f t="shared" si="5"/>
        <v>0</v>
      </c>
    </row>
    <row r="49">
      <c r="A49" s="9" t="s">
        <v>17</v>
      </c>
      <c r="B49" s="167">
        <f t="shared" si="2"/>
        <v>0</v>
      </c>
      <c r="C49" s="167">
        <f t="shared" si="3"/>
        <v>0</v>
      </c>
      <c r="D49" s="167">
        <f t="shared" si="4"/>
        <v>0</v>
      </c>
      <c r="E49" s="167">
        <f t="shared" si="5"/>
        <v>0</v>
      </c>
    </row>
    <row r="50">
      <c r="A50" s="9" t="s">
        <v>19</v>
      </c>
      <c r="B50" s="167">
        <f t="shared" si="2"/>
        <v>0</v>
      </c>
      <c r="C50" s="167">
        <f t="shared" si="3"/>
        <v>0</v>
      </c>
      <c r="D50" s="167">
        <f t="shared" si="4"/>
        <v>0</v>
      </c>
      <c r="E50" s="167">
        <f t="shared" si="5"/>
        <v>0</v>
      </c>
    </row>
    <row r="51">
      <c r="A51" s="9" t="s">
        <v>20</v>
      </c>
      <c r="B51" s="167">
        <f t="shared" si="2"/>
        <v>0</v>
      </c>
      <c r="C51" s="167">
        <f t="shared" si="3"/>
        <v>0</v>
      </c>
      <c r="D51" s="167">
        <f t="shared" si="4"/>
        <v>0</v>
      </c>
      <c r="E51" s="167">
        <f t="shared" si="5"/>
        <v>0</v>
      </c>
    </row>
    <row r="52">
      <c r="A52" s="9" t="s">
        <v>22</v>
      </c>
      <c r="B52" s="167">
        <f t="shared" si="2"/>
        <v>0</v>
      </c>
      <c r="C52" s="167">
        <f t="shared" si="3"/>
        <v>0</v>
      </c>
      <c r="D52" s="167">
        <f t="shared" si="4"/>
        <v>0</v>
      </c>
      <c r="E52" s="167">
        <f t="shared" si="5"/>
        <v>0</v>
      </c>
    </row>
    <row r="53">
      <c r="A53" s="9" t="s">
        <v>23</v>
      </c>
      <c r="B53" s="167">
        <f t="shared" si="2"/>
        <v>0</v>
      </c>
      <c r="C53" s="167">
        <f t="shared" si="3"/>
        <v>0</v>
      </c>
      <c r="D53" s="167">
        <f t="shared" si="4"/>
        <v>0</v>
      </c>
      <c r="E53" s="167">
        <f t="shared" si="5"/>
        <v>0</v>
      </c>
    </row>
    <row r="54">
      <c r="A54" s="9" t="s">
        <v>24</v>
      </c>
      <c r="B54" s="167">
        <f t="shared" si="2"/>
        <v>0</v>
      </c>
      <c r="C54" s="167">
        <f t="shared" si="3"/>
        <v>0</v>
      </c>
      <c r="D54" s="167">
        <f t="shared" si="4"/>
        <v>0</v>
      </c>
      <c r="E54" s="167">
        <f t="shared" si="5"/>
        <v>0</v>
      </c>
    </row>
    <row r="55">
      <c r="A55" s="9" t="s">
        <v>26</v>
      </c>
      <c r="B55" s="167">
        <f t="shared" si="2"/>
        <v>0</v>
      </c>
      <c r="C55" s="167">
        <f t="shared" si="3"/>
        <v>0</v>
      </c>
      <c r="D55" s="167">
        <f t="shared" si="4"/>
        <v>0</v>
      </c>
      <c r="E55" s="167">
        <f t="shared" si="5"/>
        <v>0</v>
      </c>
    </row>
    <row r="56">
      <c r="A56" s="9" t="s">
        <v>27</v>
      </c>
      <c r="B56" s="167">
        <f t="shared" si="2"/>
        <v>0</v>
      </c>
      <c r="C56" s="167">
        <f t="shared" si="3"/>
        <v>0</v>
      </c>
      <c r="D56" s="167">
        <f t="shared" si="4"/>
        <v>0</v>
      </c>
      <c r="E56" s="167">
        <f t="shared" si="5"/>
        <v>0</v>
      </c>
    </row>
    <row r="57">
      <c r="A57" s="9" t="s">
        <v>29</v>
      </c>
      <c r="B57" s="167">
        <f t="shared" si="2"/>
        <v>0</v>
      </c>
      <c r="C57" s="167">
        <f t="shared" si="3"/>
        <v>0</v>
      </c>
      <c r="D57" s="167">
        <f t="shared" si="4"/>
        <v>0</v>
      </c>
      <c r="E57" s="167">
        <f t="shared" si="5"/>
        <v>0</v>
      </c>
    </row>
    <row r="58">
      <c r="A58" s="9" t="s">
        <v>30</v>
      </c>
      <c r="B58" s="167">
        <f t="shared" si="2"/>
        <v>0</v>
      </c>
      <c r="C58" s="167">
        <f t="shared" si="3"/>
        <v>0</v>
      </c>
      <c r="D58" s="167">
        <f t="shared" si="4"/>
        <v>0</v>
      </c>
      <c r="E58" s="167">
        <f t="shared" si="5"/>
        <v>0</v>
      </c>
    </row>
    <row r="59">
      <c r="A59" s="9" t="s">
        <v>31</v>
      </c>
      <c r="B59" s="167">
        <f t="shared" si="2"/>
        <v>0</v>
      </c>
      <c r="C59" s="167">
        <f t="shared" si="3"/>
        <v>0</v>
      </c>
      <c r="D59" s="167">
        <f t="shared" si="4"/>
        <v>0</v>
      </c>
      <c r="E59" s="167">
        <f t="shared" si="5"/>
        <v>0</v>
      </c>
    </row>
    <row r="60">
      <c r="A60" s="9" t="s">
        <v>33</v>
      </c>
      <c r="B60" s="167">
        <f t="shared" si="2"/>
        <v>0</v>
      </c>
      <c r="C60" s="167">
        <f t="shared" si="3"/>
        <v>0</v>
      </c>
      <c r="D60" s="167">
        <f t="shared" si="4"/>
        <v>0</v>
      </c>
      <c r="E60" s="167">
        <f t="shared" si="5"/>
        <v>0</v>
      </c>
    </row>
    <row r="61">
      <c r="A61" s="9" t="s">
        <v>34</v>
      </c>
      <c r="B61" s="167">
        <f t="shared" si="2"/>
        <v>0</v>
      </c>
      <c r="C61" s="167">
        <f t="shared" si="3"/>
        <v>0</v>
      </c>
      <c r="D61" s="167">
        <f t="shared" si="4"/>
        <v>0</v>
      </c>
      <c r="E61" s="167">
        <f t="shared" si="5"/>
        <v>0</v>
      </c>
    </row>
    <row r="62">
      <c r="A62" s="9" t="s">
        <v>35</v>
      </c>
      <c r="B62" s="167">
        <f t="shared" si="2"/>
        <v>0</v>
      </c>
      <c r="C62" s="167">
        <f t="shared" si="3"/>
        <v>0</v>
      </c>
      <c r="D62" s="167">
        <f t="shared" si="4"/>
        <v>0</v>
      </c>
      <c r="E62" s="167">
        <f t="shared" si="5"/>
        <v>0</v>
      </c>
    </row>
  </sheetData>
  <mergeCells count="7">
    <mergeCell ref="A1:B3"/>
    <mergeCell ref="C1:H3"/>
    <mergeCell ref="I1:K1"/>
    <mergeCell ref="I2:K2"/>
    <mergeCell ref="I3:K3"/>
    <mergeCell ref="A4:H4"/>
    <mergeCell ref="I4:K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1" t="s">
        <v>0</v>
      </c>
      <c r="B1" s="2" t="s">
        <v>1</v>
      </c>
      <c r="C1" s="3"/>
      <c r="D1" s="3"/>
      <c r="E1" s="3"/>
      <c r="F1" s="3"/>
      <c r="G1" s="3"/>
      <c r="H1" s="3"/>
      <c r="I1" s="7"/>
    </row>
    <row r="2">
      <c r="A2" s="8" t="s">
        <v>4</v>
      </c>
      <c r="B2" s="9" t="s">
        <v>5</v>
      </c>
      <c r="C2" s="9" t="s">
        <v>6</v>
      </c>
      <c r="D2" s="9"/>
      <c r="E2" s="9"/>
      <c r="F2" s="9"/>
      <c r="G2" s="9"/>
      <c r="H2" s="9"/>
      <c r="I2" s="9"/>
    </row>
    <row r="3">
      <c r="A3" s="8" t="s">
        <v>7</v>
      </c>
      <c r="B3" s="9" t="s">
        <v>8</v>
      </c>
      <c r="C3" s="9" t="s">
        <v>9</v>
      </c>
      <c r="D3" s="9" t="s">
        <v>10</v>
      </c>
      <c r="E3" s="9"/>
      <c r="F3" s="9"/>
      <c r="G3" s="9"/>
      <c r="H3" s="9"/>
      <c r="I3" s="9"/>
    </row>
    <row r="4">
      <c r="A4" s="8" t="s">
        <v>11</v>
      </c>
      <c r="B4" s="9" t="s">
        <v>12</v>
      </c>
      <c r="C4" s="9" t="s">
        <v>13</v>
      </c>
      <c r="D4" s="9" t="s">
        <v>14</v>
      </c>
      <c r="E4" s="9" t="s">
        <v>15</v>
      </c>
      <c r="F4" s="9" t="s">
        <v>16</v>
      </c>
      <c r="G4" s="9" t="s">
        <v>17</v>
      </c>
      <c r="H4" s="9" t="s">
        <v>19</v>
      </c>
      <c r="I4" s="9" t="s">
        <v>20</v>
      </c>
    </row>
    <row r="5">
      <c r="A5" s="8" t="s">
        <v>21</v>
      </c>
      <c r="B5" s="9" t="s">
        <v>22</v>
      </c>
      <c r="C5" s="9" t="s">
        <v>23</v>
      </c>
      <c r="D5" s="9" t="s">
        <v>24</v>
      </c>
      <c r="E5" s="9"/>
      <c r="F5" s="9"/>
      <c r="G5" s="9"/>
      <c r="H5" s="9"/>
      <c r="I5" s="9"/>
    </row>
    <row r="6">
      <c r="A6" s="8" t="s">
        <v>25</v>
      </c>
      <c r="B6" s="9" t="s">
        <v>26</v>
      </c>
      <c r="C6" s="9" t="s">
        <v>27</v>
      </c>
      <c r="D6" s="9"/>
      <c r="E6" s="9"/>
      <c r="F6" s="9"/>
      <c r="G6" s="9"/>
      <c r="H6" s="9"/>
      <c r="I6" s="9"/>
    </row>
    <row r="7">
      <c r="A7" s="8" t="s">
        <v>28</v>
      </c>
      <c r="B7" s="9" t="s">
        <v>29</v>
      </c>
      <c r="C7" s="9" t="s">
        <v>30</v>
      </c>
      <c r="D7" s="9" t="s">
        <v>31</v>
      </c>
      <c r="E7" s="9"/>
      <c r="F7" s="9"/>
      <c r="G7" s="9"/>
      <c r="H7" s="9"/>
      <c r="I7" s="9"/>
    </row>
    <row r="8">
      <c r="A8" s="8" t="s">
        <v>32</v>
      </c>
      <c r="B8" s="9" t="s">
        <v>33</v>
      </c>
      <c r="C8" s="9" t="s">
        <v>34</v>
      </c>
      <c r="D8" s="9"/>
      <c r="E8" s="9"/>
      <c r="F8" s="9"/>
      <c r="G8" s="9"/>
      <c r="H8" s="9"/>
      <c r="I8" s="9"/>
    </row>
    <row r="9">
      <c r="A9" s="8" t="s">
        <v>35</v>
      </c>
      <c r="B9" s="9" t="s">
        <v>35</v>
      </c>
      <c r="C9" s="9"/>
      <c r="D9" s="9"/>
      <c r="E9" s="9"/>
      <c r="F9" s="9"/>
      <c r="G9" s="9"/>
      <c r="H9" s="9"/>
      <c r="I9" s="9"/>
    </row>
  </sheetData>
  <mergeCells count="1">
    <mergeCell ref="B1:I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7.0" topLeftCell="A8" activePane="bottomLeft" state="frozen"/>
      <selection activeCell="B9" sqref="B9" pane="bottomLeft"/>
    </sheetView>
  </sheetViews>
  <sheetFormatPr customHeight="1" defaultColWidth="12.63" defaultRowHeight="15.75"/>
  <cols>
    <col customWidth="1" min="1" max="1" width="9.13"/>
    <col customWidth="1" min="2" max="2" width="14.63"/>
    <col customWidth="1" min="3" max="3" width="16.63"/>
    <col customWidth="1" min="4" max="4" width="31.0"/>
    <col customWidth="1" min="6" max="6" width="22.13"/>
    <col customWidth="1" min="7" max="7" width="26.88"/>
    <col customWidth="1" min="9" max="9" width="16.5"/>
    <col customWidth="1" min="11" max="11" width="16.5"/>
    <col customWidth="1" min="12" max="12" width="18.88"/>
    <col customWidth="1" hidden="1" min="13" max="13" width="14.5"/>
    <col customWidth="1" min="14" max="14" width="29.5"/>
    <col customWidth="1" min="18" max="18" width="20.88"/>
    <col customWidth="1" min="19" max="19" width="13.0"/>
    <col customWidth="1" min="20" max="20" width="14.5"/>
    <col customWidth="1" min="21" max="21" width="0.38"/>
    <col customWidth="1" min="22" max="22" width="34.5"/>
  </cols>
  <sheetData>
    <row r="1" ht="15.75" customHeight="1">
      <c r="A1" s="4"/>
      <c r="B1" s="6"/>
      <c r="C1" s="6"/>
      <c r="D1" s="10" t="s">
        <v>2</v>
      </c>
      <c r="E1" s="6"/>
      <c r="F1" s="6"/>
      <c r="G1" s="6"/>
      <c r="H1" s="6"/>
      <c r="I1" s="6"/>
      <c r="J1" s="6"/>
      <c r="K1" s="6"/>
      <c r="L1" s="6"/>
      <c r="M1" s="6"/>
      <c r="N1" s="6"/>
      <c r="O1" s="6"/>
      <c r="P1" s="6"/>
      <c r="Q1" s="6"/>
      <c r="R1" s="6"/>
      <c r="S1" s="12" t="s">
        <v>18</v>
      </c>
      <c r="T1" s="6"/>
      <c r="U1" s="13"/>
      <c r="V1" s="14"/>
    </row>
    <row r="2" ht="15.75" customHeight="1">
      <c r="A2" s="15"/>
      <c r="D2" s="15"/>
      <c r="S2" s="16" t="s">
        <v>36</v>
      </c>
      <c r="U2" s="17"/>
      <c r="V2" s="18"/>
    </row>
    <row r="3" ht="15.75" customHeight="1">
      <c r="A3" s="19"/>
      <c r="B3" s="20"/>
      <c r="C3" s="20"/>
      <c r="D3" s="19"/>
      <c r="E3" s="20"/>
      <c r="F3" s="20"/>
      <c r="G3" s="20"/>
      <c r="H3" s="20"/>
      <c r="I3" s="20"/>
      <c r="J3" s="20"/>
      <c r="K3" s="20"/>
      <c r="L3" s="20"/>
      <c r="M3" s="20"/>
      <c r="N3" s="20"/>
      <c r="O3" s="20"/>
      <c r="P3" s="20"/>
      <c r="Q3" s="20"/>
      <c r="R3" s="20"/>
      <c r="S3" s="21" t="s">
        <v>37</v>
      </c>
      <c r="T3" s="20"/>
      <c r="U3" s="22"/>
      <c r="V3" s="23"/>
    </row>
    <row r="4" ht="17.25" customHeight="1">
      <c r="A4" s="25" t="s">
        <v>38</v>
      </c>
      <c r="B4" s="3"/>
      <c r="C4" s="3"/>
      <c r="D4" s="3"/>
      <c r="E4" s="3"/>
      <c r="F4" s="3"/>
      <c r="G4" s="3"/>
      <c r="H4" s="3"/>
      <c r="I4" s="3"/>
      <c r="J4" s="3"/>
      <c r="K4" s="3"/>
      <c r="L4" s="3"/>
      <c r="M4" s="3"/>
      <c r="N4" s="3"/>
      <c r="O4" s="3"/>
      <c r="P4" s="3"/>
      <c r="Q4" s="3"/>
      <c r="R4" s="7"/>
      <c r="S4" s="26" t="s">
        <v>40</v>
      </c>
      <c r="T4" s="3"/>
      <c r="U4" s="7"/>
      <c r="V4" s="27"/>
    </row>
    <row r="5" ht="16.5" customHeight="1">
      <c r="A5" s="37" t="s">
        <v>41</v>
      </c>
      <c r="D5" s="38"/>
      <c r="E5" s="39"/>
      <c r="F5" s="38"/>
      <c r="G5" s="38"/>
      <c r="H5" s="39"/>
      <c r="I5" s="39"/>
      <c r="J5" s="39"/>
      <c r="K5" s="39"/>
      <c r="L5" s="39"/>
      <c r="M5" s="40"/>
      <c r="N5" s="41"/>
      <c r="O5" s="40"/>
      <c r="P5" s="43"/>
      <c r="Q5" s="39"/>
      <c r="R5" s="41"/>
      <c r="S5" s="40"/>
      <c r="T5" s="39"/>
      <c r="U5" s="39"/>
      <c r="V5" s="39"/>
    </row>
    <row r="6" ht="33.75" customHeight="1">
      <c r="A6" s="48" t="s">
        <v>49</v>
      </c>
      <c r="B6" s="3"/>
      <c r="C6" s="3"/>
      <c r="D6" s="3"/>
      <c r="E6" s="7"/>
      <c r="F6" s="48" t="s">
        <v>54</v>
      </c>
      <c r="G6" s="3"/>
      <c r="H6" s="3"/>
      <c r="I6" s="3"/>
      <c r="J6" s="3"/>
      <c r="K6" s="3"/>
      <c r="L6" s="7"/>
      <c r="M6" s="50" t="s">
        <v>57</v>
      </c>
      <c r="N6" s="3"/>
      <c r="O6" s="3"/>
      <c r="P6" s="3"/>
      <c r="Q6" s="3"/>
      <c r="R6" s="3"/>
      <c r="S6" s="7"/>
      <c r="T6" s="48" t="s">
        <v>62</v>
      </c>
      <c r="U6" s="7"/>
      <c r="V6" s="52"/>
    </row>
    <row r="7" ht="39.0" customHeight="1">
      <c r="A7" s="55" t="s">
        <v>66</v>
      </c>
      <c r="B7" s="55" t="s">
        <v>1</v>
      </c>
      <c r="C7" s="55" t="s">
        <v>77</v>
      </c>
      <c r="D7" s="55" t="s">
        <v>78</v>
      </c>
      <c r="E7" s="57" t="s">
        <v>79</v>
      </c>
      <c r="F7" s="55" t="s">
        <v>81</v>
      </c>
      <c r="G7" s="55" t="s">
        <v>82</v>
      </c>
      <c r="H7" s="62" t="s">
        <v>83</v>
      </c>
      <c r="I7" s="55" t="s">
        <v>91</v>
      </c>
      <c r="J7" s="62" t="s">
        <v>94</v>
      </c>
      <c r="K7" s="55" t="s">
        <v>97</v>
      </c>
      <c r="L7" s="57" t="s">
        <v>100</v>
      </c>
      <c r="M7" s="57" t="s">
        <v>101</v>
      </c>
      <c r="N7" s="55" t="s">
        <v>102</v>
      </c>
      <c r="O7" s="57" t="s">
        <v>103</v>
      </c>
      <c r="P7" s="67" t="s">
        <v>105</v>
      </c>
      <c r="Q7" s="57" t="s">
        <v>106</v>
      </c>
      <c r="R7" s="55" t="s">
        <v>107</v>
      </c>
      <c r="S7" s="57" t="s">
        <v>103</v>
      </c>
      <c r="T7" s="57" t="s">
        <v>108</v>
      </c>
      <c r="U7" s="57" t="s">
        <v>109</v>
      </c>
      <c r="V7" s="57" t="s">
        <v>111</v>
      </c>
    </row>
    <row r="8" ht="216.75" customHeight="1">
      <c r="A8" s="72">
        <v>44489.0</v>
      </c>
      <c r="B8" s="74" t="s">
        <v>12</v>
      </c>
      <c r="C8" s="84" t="str">
        <f t="shared" ref="C8:C30" si="1">IFS(B8="Cost, expense, budget management","Financial Risk",B8="Funding cycle","Financial Risk",B8="Foreign exchange","Market Risk",B8="Business competitors","Market Risk",B8="Customer's change about business, demands","Market Risk",B8="Project Requirement","Operation Risk",B8="Technique","Operation Risk",B8="Project Characteristics","Operation Risk",B8="Project Dependencies","Operation Risk",B8="Customer's related problems","Operation Risk",B8="Project Environment","Operation Risk",B8="Project operations","Operation Risk",B8="Cyber security","Information Security Risk",B8="Human interference","Information Security Risk",B8="Third-Party Suppliers","Information Security Risk",B8="Contract penalties","Compliance Risk",B8="Project's Non - compliance","Compliance Risk",B8="Shortage of resource","Human Risk",B8="Skill deficiency","Human Risk",B8="Labor issue","Human Risk",B8="External business sources","Event Risk",B8="Internal business sources","Event Risk",B8="Rumor Risk","Rumor Risk",B8="","")</f>
        <v>Operation Risk</v>
      </c>
      <c r="D8" s="74" t="s">
        <v>141</v>
      </c>
      <c r="E8" s="85" t="s">
        <v>142</v>
      </c>
      <c r="F8" s="74" t="s">
        <v>143</v>
      </c>
      <c r="G8" s="86" t="s">
        <v>144</v>
      </c>
      <c r="H8" s="87" t="s">
        <v>145</v>
      </c>
      <c r="I8" s="88" t="s">
        <v>146</v>
      </c>
      <c r="J8" s="87" t="s">
        <v>147</v>
      </c>
      <c r="K8" s="89" t="s">
        <v>149</v>
      </c>
      <c r="L8" s="93" t="str">
        <f t="shared" ref="L8:L9" si="2">IF(OR(H8="",J8=""),"",IF(AND(H8="Low",J8="Low"),"Low",IF(AND(H8="Low",J8="Normal"),"Medium",IF(AND(H8="Normal",J8="Low"),"Medium",IF(AND(H8="Low",J8="High"),"High",IF(AND(H8="Normal",J8="Normal"),"High",IF(AND(H8="High",J8="Low"),"High",IF(AND(H8="Normal",J8="High"),"Extreme",IF(AND(H8="High",J8="Normal"),"Extreme", IF(AND(H8="High",J8="High"),"Critical"))))))))))</f>
        <v>High</v>
      </c>
      <c r="M8" s="84" t="s">
        <v>158</v>
      </c>
      <c r="N8" s="74" t="s">
        <v>159</v>
      </c>
      <c r="O8" s="95" t="s">
        <v>160</v>
      </c>
      <c r="P8" s="97">
        <v>44489.0</v>
      </c>
      <c r="Q8" s="87" t="s">
        <v>162</v>
      </c>
      <c r="R8" s="74" t="s">
        <v>165</v>
      </c>
      <c r="S8" s="95" t="s">
        <v>160</v>
      </c>
      <c r="T8" s="98">
        <v>44499.0</v>
      </c>
      <c r="U8" s="85" t="s">
        <v>168</v>
      </c>
      <c r="V8" s="104" t="str">
        <f>CONCATENATE("[","Identified date","]",":"," ",TEXT(A8,"yyyy/mm/dd"), CHAR(10),"[", "Risk Description","]",CHAR(10)," ", D8,CHAR(10),"[","Current Control Response(If have)","]",":",CHAR(10),G8,CHAR(10),"[", "Risk Trigger","]",":",CHAR(10), F8,"["," Risk Priority","]",L8,CHAR(10),"[","Mitigation Plan","]",":",CHAR(10), N8,CHAR(10),"[","Contingency Plan","]",":",CHAR(10),R8,CHAR(10),"[", "PIC","]",":",CHAR(10), E8,)</f>
        <v>[Identified date]: 2021/10/20
[Risk Description]
 Bối cảnh: Khách hàng upload nhiều file lên Redmine của dự án
Dẫn đến rủi ro: Dung lượng lưu trữ trên server bị giảm, tốc độ xử lý server bị chậm
Ảnh hưởng của rủi ro: Ảnh hưởng đến chất lượng của Redmine, dự án mất thời gian chờ đợi để hệ thống load data
[Current Control Response(If have)]:
Xin nâng cấp dung lượng lưu trữ trên server của khách hàng
[Risk Trigger]:
Dấu hiệu rủi ro đã trở thành vấn đề: Dung lượng lưu trữ trên server đạt ngưỡng 90% [ Risk Priority]High
[Mitigation Plan]:
Tham khảo ý kiến khách hàng về việc xoá bớt file/pj ko còn active.
[Contingency Plan]:
Nếu server quá tải thì yêu cầu khách hàng chuyển bớt file tài liệu sang GG Driver
[PIC]:
Nguyen Van B</v>
      </c>
    </row>
    <row r="9">
      <c r="A9" s="97">
        <v>44489.0</v>
      </c>
      <c r="B9" s="106" t="s">
        <v>8</v>
      </c>
      <c r="C9" s="84" t="str">
        <f t="shared" si="1"/>
        <v>Market Risk</v>
      </c>
      <c r="D9" s="86" t="s">
        <v>189</v>
      </c>
      <c r="E9" s="95" t="s">
        <v>142</v>
      </c>
      <c r="F9" s="86" t="s">
        <v>190</v>
      </c>
      <c r="G9" s="110"/>
      <c r="H9" s="87" t="s">
        <v>153</v>
      </c>
      <c r="I9" s="88" t="s">
        <v>192</v>
      </c>
      <c r="J9" s="87" t="s">
        <v>145</v>
      </c>
      <c r="K9" s="112" t="s">
        <v>193</v>
      </c>
      <c r="L9" s="113" t="str">
        <f t="shared" si="2"/>
        <v>Extreme</v>
      </c>
      <c r="M9" s="84" t="s">
        <v>158</v>
      </c>
      <c r="N9" s="114" t="s">
        <v>195</v>
      </c>
      <c r="O9" s="95" t="s">
        <v>160</v>
      </c>
      <c r="P9" s="97">
        <v>44494.0</v>
      </c>
      <c r="Q9" s="87" t="s">
        <v>197</v>
      </c>
      <c r="R9" s="114" t="s">
        <v>198</v>
      </c>
      <c r="S9" s="95" t="s">
        <v>160</v>
      </c>
      <c r="T9" s="115">
        <v>44499.0</v>
      </c>
      <c r="U9" s="84" t="s">
        <v>201</v>
      </c>
      <c r="V9" s="118" t="str">
        <f>CONCATENATE("[","Identified date","]",":"," ",TEXT(A9,"yyyy/mm/dd"),CHAR(10),"[", "Risk Description","]",CHAR(10)," ", D9,CHAR(10),"[","Current Control Response(If have)","]",":",CHAR(10),G9,CHAR(10),"[", "Risk Trigger","]",":",CHAR(10), F9,"["," Risk Priority","]",L9,CHAR(10),"[","Mitigation Plan","]",":",CHAR(10), N9,CHAR(10),"[","Contingency Plan","]",":",CHAR(10),R9,CHAR(10),"[", "PIC","]",":",CHAR(10), E9,)</f>
        <v>[Identified date]: 2021/10/20
[Risk Description]
 Bối cảnh: PC mới không có kinh nghiệm quản lý dự án 
Dẫn đến rủi ro: Không detect kịp thời các risk, issue trong dự án
Ảnh hưởng của rủi ro: Các bên liên quan không kịp thời nắm được issue dự án
[Current Control Response(If have)]:
[Risk Trigger]:
Tiến độ bị trễ 2 tuần so với kế hoạch mới nhận ra để report cho khách hàng[ Risk Priority]Extreme
[Mitigation Plan]:
- Tham gia các khóa training định kỳ trong group/section/công ty
- Define cách thức đánh giá và tần suất tracking tiến độ dự án.
[Contingency Plan]:
- Add Senior hỗ trợ xử lý vấn đề
[PIC]:
Nguyen Van B</v>
      </c>
    </row>
    <row r="10">
      <c r="A10" s="8"/>
      <c r="B10" s="8" t="s">
        <v>14</v>
      </c>
      <c r="C10" s="84" t="str">
        <f t="shared" si="1"/>
        <v>#N/A</v>
      </c>
      <c r="D10" s="9"/>
      <c r="E10" s="9"/>
      <c r="F10" s="9"/>
      <c r="G10" s="9"/>
      <c r="H10" s="9"/>
      <c r="I10" s="9"/>
      <c r="J10" s="119"/>
      <c r="K10" s="120"/>
      <c r="L10" s="121"/>
      <c r="M10" s="122"/>
      <c r="N10" s="123"/>
      <c r="O10" s="124"/>
      <c r="P10" s="125"/>
      <c r="Q10" s="119"/>
      <c r="R10" s="123"/>
      <c r="S10" s="124"/>
      <c r="T10" s="125"/>
      <c r="U10" s="126"/>
      <c r="V10" s="126"/>
    </row>
    <row r="11">
      <c r="A11" s="125"/>
      <c r="B11" s="8"/>
      <c r="C11" s="84" t="str">
        <f t="shared" si="1"/>
        <v/>
      </c>
      <c r="D11" s="9"/>
      <c r="E11" s="124"/>
      <c r="F11" s="123"/>
      <c r="G11" s="123"/>
      <c r="H11" s="119"/>
      <c r="I11" s="127"/>
      <c r="J11" s="119"/>
      <c r="K11" s="120"/>
      <c r="L11" s="121" t="str">
        <f>IF(OR(H11="",J11=""),"",IF(AND(H11="Low",J11="Low"),"Low",IF(AND(H11="Low",J11="Normal"),"Medium",IF(AND(H11="Normal",J11="Low"),"Medium",IF(AND(H11="Low",J11="High"),"High",IF(AND(H11="Normal",J11="Normal"),"High",IF(AND(H11="High",J11="Low"),"High",IF(AND(H11="Normal",J11="High"),"Extreme",IF(AND(H11="High",J11="Normal"),"Extreme", IF(AND(H11="High",J11="High"),"Critical"))))))))))</f>
        <v/>
      </c>
      <c r="M11" s="126"/>
      <c r="N11" s="123"/>
      <c r="O11" s="124"/>
      <c r="P11" s="125"/>
      <c r="Q11" s="119"/>
      <c r="R11" s="123"/>
      <c r="S11" s="124"/>
      <c r="T11" s="125"/>
      <c r="U11" s="126"/>
      <c r="V11" s="126"/>
    </row>
    <row r="12">
      <c r="A12" s="125"/>
      <c r="B12" s="133"/>
      <c r="C12" s="84" t="str">
        <f t="shared" si="1"/>
        <v/>
      </c>
      <c r="D12" s="123"/>
      <c r="E12" s="124"/>
      <c r="F12" s="123"/>
      <c r="G12" s="123"/>
      <c r="H12" s="119"/>
      <c r="I12" s="127"/>
      <c r="J12" s="119"/>
      <c r="K12" s="120"/>
      <c r="L12" s="121"/>
      <c r="M12" s="126"/>
      <c r="N12" s="123"/>
      <c r="O12" s="124"/>
      <c r="P12" s="125"/>
      <c r="Q12" s="119"/>
      <c r="R12" s="123"/>
      <c r="S12" s="124"/>
      <c r="T12" s="125"/>
      <c r="U12" s="122"/>
      <c r="V12" s="122"/>
    </row>
    <row r="13">
      <c r="A13" s="125"/>
      <c r="B13" s="134"/>
      <c r="C13" s="84" t="str">
        <f t="shared" si="1"/>
        <v/>
      </c>
      <c r="D13" s="123"/>
      <c r="E13" s="124"/>
      <c r="F13" s="123"/>
      <c r="G13" s="123"/>
      <c r="H13" s="119"/>
      <c r="I13" s="127"/>
      <c r="J13" s="119"/>
      <c r="K13" s="120"/>
      <c r="L13" s="121" t="str">
        <f t="shared" ref="L13:L30" si="3">IF(OR(H13="",J13=""),"",IF(AND(H13="Low",J13="Low"),"Low",IF(AND(H13="Low",J13="Normal"),"Medium",IF(AND(H13="Normal",J13="Low"),"Medium",IF(AND(H13="Low",J13="High"),"High",IF(AND(H13="Normal",J13="Normal"),"High",IF(AND(H13="High",J13="Low"),"High",IF(AND(H13="Normal",J13="High"),"Extreme",IF(AND(H13="High",J13="Normal"),"Extreme", IF(AND(H13="High",J13="High"),"Critical"))))))))))</f>
        <v/>
      </c>
      <c r="M13" s="126"/>
      <c r="N13" s="123"/>
      <c r="O13" s="124"/>
      <c r="P13" s="125"/>
      <c r="Q13" s="119"/>
      <c r="R13" s="123"/>
      <c r="S13" s="124"/>
      <c r="T13" s="125"/>
      <c r="U13" s="126"/>
      <c r="V13" s="126"/>
    </row>
    <row r="14">
      <c r="A14" s="135"/>
      <c r="B14" s="136"/>
      <c r="C14" s="84" t="str">
        <f t="shared" si="1"/>
        <v/>
      </c>
      <c r="D14" s="137"/>
      <c r="E14" s="138"/>
      <c r="F14" s="137"/>
      <c r="G14" s="137"/>
      <c r="H14" s="139"/>
      <c r="I14" s="140"/>
      <c r="J14" s="139"/>
      <c r="K14" s="141"/>
      <c r="L14" s="142" t="str">
        <f t="shared" si="3"/>
        <v/>
      </c>
      <c r="M14" s="143"/>
      <c r="N14" s="137"/>
      <c r="O14" s="138"/>
      <c r="P14" s="144"/>
      <c r="Q14" s="139"/>
      <c r="R14" s="137"/>
      <c r="S14" s="138"/>
      <c r="T14" s="144"/>
      <c r="U14" s="143"/>
      <c r="V14" s="143"/>
    </row>
    <row r="15">
      <c r="A15" s="135"/>
      <c r="B15" s="136"/>
      <c r="C15" s="84" t="str">
        <f t="shared" si="1"/>
        <v/>
      </c>
      <c r="D15" s="137"/>
      <c r="E15" s="138"/>
      <c r="F15" s="137"/>
      <c r="G15" s="137"/>
      <c r="H15" s="139"/>
      <c r="I15" s="140"/>
      <c r="J15" s="139"/>
      <c r="K15" s="141"/>
      <c r="L15" s="142" t="str">
        <f t="shared" si="3"/>
        <v/>
      </c>
      <c r="M15" s="143"/>
      <c r="N15" s="137"/>
      <c r="O15" s="138"/>
      <c r="P15" s="144"/>
      <c r="Q15" s="139"/>
      <c r="R15" s="137"/>
      <c r="S15" s="138"/>
      <c r="T15" s="144"/>
      <c r="U15" s="143"/>
      <c r="V15" s="143"/>
    </row>
    <row r="16">
      <c r="A16" s="135"/>
      <c r="B16" s="136"/>
      <c r="C16" s="84" t="str">
        <f t="shared" si="1"/>
        <v/>
      </c>
      <c r="D16" s="137"/>
      <c r="E16" s="138"/>
      <c r="F16" s="137"/>
      <c r="G16" s="137"/>
      <c r="H16" s="139"/>
      <c r="I16" s="140"/>
      <c r="J16" s="139"/>
      <c r="K16" s="141"/>
      <c r="L16" s="142" t="str">
        <f t="shared" si="3"/>
        <v/>
      </c>
      <c r="M16" s="143"/>
      <c r="N16" s="137"/>
      <c r="O16" s="138"/>
      <c r="P16" s="144"/>
      <c r="Q16" s="139"/>
      <c r="R16" s="137"/>
      <c r="S16" s="138"/>
      <c r="T16" s="144"/>
      <c r="U16" s="143"/>
      <c r="V16" s="143"/>
    </row>
    <row r="17">
      <c r="A17" s="145"/>
      <c r="B17" s="146"/>
      <c r="C17" s="147" t="str">
        <f t="shared" si="1"/>
        <v/>
      </c>
      <c r="D17" s="148"/>
      <c r="E17" s="149"/>
      <c r="F17" s="148"/>
      <c r="G17" s="148"/>
      <c r="H17" s="150"/>
      <c r="I17" s="151"/>
      <c r="J17" s="150"/>
      <c r="K17" s="152"/>
      <c r="L17" s="153" t="str">
        <f t="shared" si="3"/>
        <v/>
      </c>
      <c r="M17" s="154"/>
      <c r="N17" s="148"/>
      <c r="O17" s="149"/>
      <c r="P17" s="155"/>
      <c r="Q17" s="150"/>
      <c r="R17" s="148"/>
      <c r="S17" s="149"/>
      <c r="T17" s="155"/>
      <c r="U17" s="154"/>
      <c r="V17" s="154"/>
    </row>
    <row r="18">
      <c r="A18" s="145"/>
      <c r="B18" s="146"/>
      <c r="C18" s="147" t="str">
        <f t="shared" si="1"/>
        <v/>
      </c>
      <c r="D18" s="148"/>
      <c r="E18" s="149"/>
      <c r="F18" s="148"/>
      <c r="G18" s="148"/>
      <c r="H18" s="150"/>
      <c r="I18" s="151"/>
      <c r="J18" s="150"/>
      <c r="K18" s="152"/>
      <c r="L18" s="153" t="str">
        <f t="shared" si="3"/>
        <v/>
      </c>
      <c r="M18" s="154"/>
      <c r="N18" s="148"/>
      <c r="O18" s="149"/>
      <c r="P18" s="155"/>
      <c r="Q18" s="150"/>
      <c r="R18" s="148"/>
      <c r="S18" s="149"/>
      <c r="T18" s="155"/>
      <c r="U18" s="154"/>
      <c r="V18" s="154"/>
    </row>
    <row r="19">
      <c r="A19" s="145"/>
      <c r="B19" s="146"/>
      <c r="C19" s="147" t="str">
        <f t="shared" si="1"/>
        <v/>
      </c>
      <c r="D19" s="148"/>
      <c r="E19" s="149"/>
      <c r="F19" s="148"/>
      <c r="G19" s="148"/>
      <c r="H19" s="150"/>
      <c r="I19" s="151"/>
      <c r="J19" s="150"/>
      <c r="K19" s="152"/>
      <c r="L19" s="153" t="str">
        <f t="shared" si="3"/>
        <v/>
      </c>
      <c r="M19" s="154"/>
      <c r="N19" s="148"/>
      <c r="O19" s="149"/>
      <c r="P19" s="155"/>
      <c r="Q19" s="150"/>
      <c r="R19" s="148"/>
      <c r="S19" s="149"/>
      <c r="T19" s="155"/>
      <c r="U19" s="154"/>
      <c r="V19" s="154"/>
    </row>
    <row r="20">
      <c r="A20" s="145"/>
      <c r="B20" s="146"/>
      <c r="C20" s="147" t="str">
        <f t="shared" si="1"/>
        <v/>
      </c>
      <c r="D20" s="148"/>
      <c r="E20" s="149"/>
      <c r="F20" s="148"/>
      <c r="G20" s="148"/>
      <c r="H20" s="150"/>
      <c r="I20" s="151"/>
      <c r="J20" s="150"/>
      <c r="K20" s="152"/>
      <c r="L20" s="153" t="str">
        <f t="shared" si="3"/>
        <v/>
      </c>
      <c r="M20" s="154"/>
      <c r="N20" s="148"/>
      <c r="O20" s="149"/>
      <c r="P20" s="155"/>
      <c r="Q20" s="150"/>
      <c r="R20" s="148"/>
      <c r="S20" s="149"/>
      <c r="T20" s="155"/>
      <c r="U20" s="154"/>
      <c r="V20" s="154"/>
    </row>
    <row r="21">
      <c r="A21" s="145"/>
      <c r="B21" s="146"/>
      <c r="C21" s="147" t="str">
        <f t="shared" si="1"/>
        <v/>
      </c>
      <c r="D21" s="148"/>
      <c r="E21" s="149"/>
      <c r="F21" s="148"/>
      <c r="G21" s="148"/>
      <c r="H21" s="150"/>
      <c r="I21" s="151"/>
      <c r="J21" s="150"/>
      <c r="K21" s="152"/>
      <c r="L21" s="153" t="str">
        <f t="shared" si="3"/>
        <v/>
      </c>
      <c r="M21" s="154"/>
      <c r="N21" s="148"/>
      <c r="O21" s="149"/>
      <c r="P21" s="155"/>
      <c r="Q21" s="150"/>
      <c r="R21" s="148"/>
      <c r="S21" s="149"/>
      <c r="T21" s="155"/>
      <c r="U21" s="154"/>
      <c r="V21" s="154"/>
    </row>
    <row r="22">
      <c r="A22" s="145"/>
      <c r="B22" s="146"/>
      <c r="C22" s="147" t="str">
        <f t="shared" si="1"/>
        <v/>
      </c>
      <c r="D22" s="148"/>
      <c r="E22" s="149"/>
      <c r="F22" s="148"/>
      <c r="G22" s="148"/>
      <c r="H22" s="150"/>
      <c r="I22" s="151"/>
      <c r="J22" s="150"/>
      <c r="K22" s="152"/>
      <c r="L22" s="153" t="str">
        <f t="shared" si="3"/>
        <v/>
      </c>
      <c r="M22" s="154"/>
      <c r="N22" s="148"/>
      <c r="O22" s="149"/>
      <c r="P22" s="155"/>
      <c r="Q22" s="150"/>
      <c r="R22" s="148"/>
      <c r="S22" s="149"/>
      <c r="T22" s="155"/>
      <c r="U22" s="154"/>
      <c r="V22" s="154"/>
    </row>
    <row r="23">
      <c r="A23" s="145"/>
      <c r="B23" s="146"/>
      <c r="C23" s="147" t="str">
        <f t="shared" si="1"/>
        <v/>
      </c>
      <c r="D23" s="148"/>
      <c r="E23" s="149"/>
      <c r="F23" s="148"/>
      <c r="G23" s="148"/>
      <c r="H23" s="150"/>
      <c r="I23" s="151"/>
      <c r="J23" s="150"/>
      <c r="K23" s="152"/>
      <c r="L23" s="153" t="str">
        <f t="shared" si="3"/>
        <v/>
      </c>
      <c r="M23" s="154"/>
      <c r="N23" s="148"/>
      <c r="O23" s="149"/>
      <c r="P23" s="155"/>
      <c r="Q23" s="150"/>
      <c r="R23" s="148"/>
      <c r="S23" s="149"/>
      <c r="T23" s="155"/>
      <c r="U23" s="154"/>
      <c r="V23" s="154"/>
    </row>
    <row r="24">
      <c r="A24" s="145"/>
      <c r="B24" s="146"/>
      <c r="C24" s="147" t="str">
        <f t="shared" si="1"/>
        <v/>
      </c>
      <c r="D24" s="148"/>
      <c r="E24" s="149"/>
      <c r="F24" s="148"/>
      <c r="G24" s="148"/>
      <c r="H24" s="150"/>
      <c r="I24" s="151"/>
      <c r="J24" s="150"/>
      <c r="K24" s="152"/>
      <c r="L24" s="153" t="str">
        <f t="shared" si="3"/>
        <v/>
      </c>
      <c r="M24" s="154"/>
      <c r="N24" s="148"/>
      <c r="O24" s="149"/>
      <c r="P24" s="155"/>
      <c r="Q24" s="150"/>
      <c r="R24" s="148"/>
      <c r="S24" s="149"/>
      <c r="T24" s="155"/>
      <c r="U24" s="154"/>
      <c r="V24" s="154"/>
    </row>
    <row r="25">
      <c r="A25" s="145"/>
      <c r="B25" s="146"/>
      <c r="C25" s="147" t="str">
        <f t="shared" si="1"/>
        <v/>
      </c>
      <c r="D25" s="148"/>
      <c r="E25" s="149"/>
      <c r="F25" s="148"/>
      <c r="G25" s="148"/>
      <c r="H25" s="150"/>
      <c r="I25" s="151"/>
      <c r="J25" s="150"/>
      <c r="K25" s="152"/>
      <c r="L25" s="153" t="str">
        <f t="shared" si="3"/>
        <v/>
      </c>
      <c r="M25" s="154"/>
      <c r="N25" s="148"/>
      <c r="O25" s="149"/>
      <c r="P25" s="155"/>
      <c r="Q25" s="150"/>
      <c r="R25" s="148"/>
      <c r="S25" s="149"/>
      <c r="T25" s="155"/>
      <c r="U25" s="154"/>
      <c r="V25" s="154"/>
    </row>
    <row r="26">
      <c r="A26" s="145"/>
      <c r="B26" s="146"/>
      <c r="C26" s="147" t="str">
        <f t="shared" si="1"/>
        <v/>
      </c>
      <c r="D26" s="148"/>
      <c r="E26" s="149"/>
      <c r="F26" s="148"/>
      <c r="G26" s="148"/>
      <c r="H26" s="150"/>
      <c r="I26" s="151"/>
      <c r="J26" s="150"/>
      <c r="K26" s="152"/>
      <c r="L26" s="153" t="str">
        <f t="shared" si="3"/>
        <v/>
      </c>
      <c r="M26" s="154"/>
      <c r="N26" s="148"/>
      <c r="O26" s="149"/>
      <c r="P26" s="155"/>
      <c r="Q26" s="150"/>
      <c r="R26" s="148"/>
      <c r="S26" s="149"/>
      <c r="T26" s="155"/>
      <c r="U26" s="154"/>
      <c r="V26" s="154"/>
    </row>
    <row r="27">
      <c r="A27" s="145"/>
      <c r="B27" s="146"/>
      <c r="C27" s="147" t="str">
        <f t="shared" si="1"/>
        <v/>
      </c>
      <c r="D27" s="148"/>
      <c r="E27" s="149"/>
      <c r="F27" s="148"/>
      <c r="G27" s="148"/>
      <c r="H27" s="150"/>
      <c r="I27" s="151"/>
      <c r="J27" s="150"/>
      <c r="K27" s="152"/>
      <c r="L27" s="153" t="str">
        <f t="shared" si="3"/>
        <v/>
      </c>
      <c r="M27" s="154"/>
      <c r="N27" s="148"/>
      <c r="O27" s="149"/>
      <c r="P27" s="155"/>
      <c r="Q27" s="150"/>
      <c r="R27" s="148"/>
      <c r="S27" s="149"/>
      <c r="T27" s="155"/>
      <c r="U27" s="154"/>
      <c r="V27" s="154"/>
    </row>
    <row r="28">
      <c r="A28" s="145"/>
      <c r="B28" s="146"/>
      <c r="C28" s="147" t="str">
        <f t="shared" si="1"/>
        <v/>
      </c>
      <c r="D28" s="148"/>
      <c r="E28" s="149"/>
      <c r="F28" s="148"/>
      <c r="G28" s="148"/>
      <c r="H28" s="150"/>
      <c r="I28" s="151"/>
      <c r="J28" s="150"/>
      <c r="K28" s="152"/>
      <c r="L28" s="153" t="str">
        <f t="shared" si="3"/>
        <v/>
      </c>
      <c r="M28" s="154"/>
      <c r="N28" s="148"/>
      <c r="O28" s="149"/>
      <c r="P28" s="155"/>
      <c r="Q28" s="150"/>
      <c r="R28" s="148"/>
      <c r="S28" s="149"/>
      <c r="T28" s="155"/>
      <c r="U28" s="154"/>
      <c r="V28" s="154"/>
    </row>
    <row r="29">
      <c r="A29" s="145"/>
      <c r="B29" s="146"/>
      <c r="C29" s="147" t="str">
        <f t="shared" si="1"/>
        <v/>
      </c>
      <c r="D29" s="148"/>
      <c r="E29" s="149"/>
      <c r="F29" s="148"/>
      <c r="G29" s="148"/>
      <c r="H29" s="150"/>
      <c r="I29" s="151"/>
      <c r="J29" s="150"/>
      <c r="K29" s="152"/>
      <c r="L29" s="153" t="str">
        <f t="shared" si="3"/>
        <v/>
      </c>
      <c r="M29" s="154"/>
      <c r="N29" s="148"/>
      <c r="O29" s="149"/>
      <c r="P29" s="155"/>
      <c r="Q29" s="150"/>
      <c r="R29" s="148"/>
      <c r="S29" s="149"/>
      <c r="T29" s="155"/>
      <c r="U29" s="154"/>
      <c r="V29" s="154"/>
    </row>
    <row r="30">
      <c r="A30" s="145"/>
      <c r="B30" s="146"/>
      <c r="C30" s="147" t="str">
        <f t="shared" si="1"/>
        <v/>
      </c>
      <c r="D30" s="148"/>
      <c r="E30" s="149"/>
      <c r="F30" s="148"/>
      <c r="G30" s="148"/>
      <c r="H30" s="150"/>
      <c r="I30" s="151"/>
      <c r="J30" s="150"/>
      <c r="K30" s="152"/>
      <c r="L30" s="153" t="str">
        <f t="shared" si="3"/>
        <v/>
      </c>
      <c r="M30" s="154"/>
      <c r="N30" s="148"/>
      <c r="O30" s="149"/>
      <c r="P30" s="155"/>
      <c r="Q30" s="150"/>
      <c r="R30" s="148"/>
      <c r="S30" s="149"/>
      <c r="T30" s="155"/>
      <c r="U30" s="154"/>
      <c r="V30" s="154"/>
    </row>
  </sheetData>
  <mergeCells count="12">
    <mergeCell ref="A5:C5"/>
    <mergeCell ref="A6:E6"/>
    <mergeCell ref="F6:L6"/>
    <mergeCell ref="M6:S6"/>
    <mergeCell ref="T6:U6"/>
    <mergeCell ref="A1:C3"/>
    <mergeCell ref="D1:R3"/>
    <mergeCell ref="S1:U1"/>
    <mergeCell ref="S2:U2"/>
    <mergeCell ref="S3:U3"/>
    <mergeCell ref="A4:R4"/>
    <mergeCell ref="S4:U4"/>
  </mergeCells>
  <hyperlinks>
    <hyperlink r:id="rId2" ref="A5"/>
    <hyperlink display="Probability" location="null!A15" ref="H7"/>
    <hyperlink display="Impact" location="null!A22" ref="J7"/>
  </hyperlinks>
  <drawing r:id="rId3"/>
  <legacy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6.0"/>
    <col customWidth="1" min="2" max="2" width="32.38"/>
    <col customWidth="1" min="3" max="3" width="31.0"/>
    <col customWidth="1" min="8" max="8" width="15.5"/>
    <col customWidth="1" min="13" max="13" width="5.63"/>
  </cols>
  <sheetData>
    <row r="1">
      <c r="A1" s="32"/>
      <c r="B1" s="34"/>
      <c r="C1" s="34"/>
      <c r="D1" s="34"/>
      <c r="E1" s="34"/>
      <c r="F1" s="34"/>
      <c r="G1" s="34"/>
      <c r="H1" s="34"/>
      <c r="I1" s="34"/>
      <c r="J1" s="34"/>
      <c r="K1" s="36"/>
      <c r="L1" s="36"/>
      <c r="M1" s="36"/>
    </row>
    <row r="2">
      <c r="A2" s="32" t="s">
        <v>45</v>
      </c>
      <c r="B2" s="34"/>
      <c r="C2" s="34"/>
      <c r="D2" s="34"/>
      <c r="E2" s="34"/>
      <c r="F2" s="34"/>
      <c r="G2" s="34"/>
      <c r="H2" s="34"/>
      <c r="I2" s="34"/>
      <c r="J2" s="34"/>
      <c r="K2" s="36"/>
      <c r="L2" s="36"/>
      <c r="M2" s="36"/>
    </row>
    <row r="3">
      <c r="A3" s="1" t="s">
        <v>0</v>
      </c>
      <c r="B3" s="1" t="s">
        <v>1</v>
      </c>
      <c r="C3" s="2" t="s">
        <v>47</v>
      </c>
      <c r="D3" s="3"/>
      <c r="E3" s="3"/>
      <c r="F3" s="3"/>
      <c r="G3" s="3"/>
      <c r="H3" s="3"/>
      <c r="I3" s="7"/>
      <c r="K3" s="42"/>
      <c r="L3" s="42"/>
      <c r="M3" s="42"/>
    </row>
    <row r="4">
      <c r="A4" s="44" t="s">
        <v>4</v>
      </c>
      <c r="B4" s="9" t="s">
        <v>50</v>
      </c>
      <c r="C4" s="46" t="s">
        <v>51</v>
      </c>
      <c r="D4" s="3"/>
      <c r="E4" s="3"/>
      <c r="F4" s="3"/>
      <c r="G4" s="3"/>
      <c r="H4" s="3"/>
      <c r="I4" s="7"/>
      <c r="K4" s="42"/>
      <c r="L4" s="42"/>
      <c r="M4" s="42"/>
    </row>
    <row r="5">
      <c r="A5" s="49"/>
      <c r="B5" s="9" t="s">
        <v>52</v>
      </c>
      <c r="C5" s="46" t="s">
        <v>53</v>
      </c>
      <c r="D5" s="3"/>
      <c r="E5" s="3"/>
      <c r="F5" s="3"/>
      <c r="G5" s="3"/>
      <c r="H5" s="3"/>
      <c r="I5" s="7"/>
      <c r="K5" s="42"/>
      <c r="L5" s="42"/>
      <c r="M5" s="42"/>
    </row>
    <row r="6">
      <c r="A6" s="44" t="s">
        <v>7</v>
      </c>
      <c r="B6" s="9" t="s">
        <v>56</v>
      </c>
      <c r="C6" s="46" t="s">
        <v>58</v>
      </c>
      <c r="D6" s="3"/>
      <c r="E6" s="3"/>
      <c r="F6" s="3"/>
      <c r="G6" s="3"/>
      <c r="H6" s="3"/>
      <c r="I6" s="7"/>
      <c r="K6" s="42"/>
      <c r="L6" s="42"/>
      <c r="M6" s="42"/>
    </row>
    <row r="7">
      <c r="A7" s="51"/>
      <c r="B7" s="9" t="s">
        <v>60</v>
      </c>
      <c r="C7" s="46" t="s">
        <v>61</v>
      </c>
      <c r="D7" s="3"/>
      <c r="E7" s="3"/>
      <c r="F7" s="3"/>
      <c r="G7" s="3"/>
      <c r="H7" s="3"/>
      <c r="I7" s="7"/>
      <c r="K7" s="42"/>
      <c r="L7" s="42"/>
      <c r="M7" s="42"/>
    </row>
    <row r="8">
      <c r="A8" s="49"/>
      <c r="B8" s="9" t="s">
        <v>64</v>
      </c>
      <c r="C8" s="46" t="s">
        <v>65</v>
      </c>
      <c r="D8" s="3"/>
      <c r="E8" s="3"/>
      <c r="F8" s="3"/>
      <c r="G8" s="3"/>
      <c r="H8" s="3"/>
      <c r="I8" s="7"/>
      <c r="K8" s="42"/>
      <c r="L8" s="42"/>
      <c r="M8" s="42"/>
    </row>
    <row r="9">
      <c r="A9" s="44" t="s">
        <v>11</v>
      </c>
      <c r="B9" s="9" t="s">
        <v>67</v>
      </c>
      <c r="C9" s="46" t="s">
        <v>68</v>
      </c>
      <c r="D9" s="3"/>
      <c r="E9" s="3"/>
      <c r="F9" s="3"/>
      <c r="G9" s="3"/>
      <c r="H9" s="3"/>
      <c r="I9" s="7"/>
      <c r="K9" s="42"/>
      <c r="L9" s="42"/>
      <c r="M9" s="42"/>
    </row>
    <row r="10">
      <c r="A10" s="51"/>
      <c r="B10" s="9" t="s">
        <v>70</v>
      </c>
      <c r="C10" s="46" t="s">
        <v>71</v>
      </c>
      <c r="D10" s="3"/>
      <c r="E10" s="3"/>
      <c r="F10" s="3"/>
      <c r="G10" s="3"/>
      <c r="H10" s="3"/>
      <c r="I10" s="7"/>
      <c r="K10" s="42"/>
      <c r="L10" s="42"/>
      <c r="M10" s="42"/>
    </row>
    <row r="11">
      <c r="A11" s="51"/>
      <c r="B11" s="9" t="s">
        <v>73</v>
      </c>
      <c r="C11" s="46" t="s">
        <v>74</v>
      </c>
      <c r="D11" s="3"/>
      <c r="E11" s="3"/>
      <c r="F11" s="3"/>
      <c r="G11" s="3"/>
      <c r="H11" s="3"/>
      <c r="I11" s="7"/>
      <c r="K11" s="42"/>
      <c r="L11" s="42"/>
      <c r="M11" s="42"/>
    </row>
    <row r="12">
      <c r="A12" s="51"/>
      <c r="B12" s="9" t="s">
        <v>75</v>
      </c>
      <c r="C12" s="46" t="s">
        <v>76</v>
      </c>
      <c r="D12" s="3"/>
      <c r="E12" s="3"/>
      <c r="F12" s="3"/>
      <c r="G12" s="3"/>
      <c r="H12" s="3"/>
      <c r="I12" s="7"/>
      <c r="K12" s="42"/>
      <c r="L12" s="42"/>
      <c r="M12" s="42"/>
    </row>
    <row r="13">
      <c r="A13" s="51"/>
      <c r="B13" s="9" t="s">
        <v>84</v>
      </c>
      <c r="C13" s="46" t="s">
        <v>85</v>
      </c>
      <c r="D13" s="3"/>
      <c r="E13" s="3"/>
      <c r="F13" s="3"/>
      <c r="G13" s="3"/>
      <c r="H13" s="3"/>
      <c r="I13" s="7"/>
      <c r="K13" s="42"/>
      <c r="L13" s="42"/>
      <c r="M13" s="42"/>
    </row>
    <row r="14">
      <c r="A14" s="51"/>
      <c r="B14" s="9" t="s">
        <v>88</v>
      </c>
      <c r="C14" s="46" t="s">
        <v>89</v>
      </c>
      <c r="D14" s="3"/>
      <c r="E14" s="3"/>
      <c r="F14" s="3"/>
      <c r="G14" s="3"/>
      <c r="H14" s="3"/>
      <c r="I14" s="7"/>
      <c r="K14" s="42"/>
      <c r="L14" s="42"/>
      <c r="M14" s="42"/>
    </row>
    <row r="15">
      <c r="A15" s="51"/>
      <c r="B15" s="9" t="s">
        <v>93</v>
      </c>
      <c r="C15" s="46" t="s">
        <v>95</v>
      </c>
      <c r="D15" s="3"/>
      <c r="E15" s="3"/>
      <c r="F15" s="3"/>
      <c r="G15" s="3"/>
      <c r="H15" s="3"/>
      <c r="I15" s="7"/>
      <c r="K15" s="42"/>
      <c r="L15" s="42"/>
      <c r="M15" s="42"/>
    </row>
    <row r="16">
      <c r="A16" s="49"/>
      <c r="B16" s="9" t="s">
        <v>98</v>
      </c>
      <c r="C16" s="46" t="s">
        <v>99</v>
      </c>
      <c r="D16" s="3"/>
      <c r="E16" s="3"/>
      <c r="F16" s="3"/>
      <c r="G16" s="3"/>
      <c r="H16" s="3"/>
      <c r="I16" s="7"/>
      <c r="K16" s="42"/>
      <c r="L16" s="42"/>
      <c r="M16" s="42"/>
    </row>
    <row r="17">
      <c r="A17" s="69" t="s">
        <v>21</v>
      </c>
      <c r="B17" s="70" t="s">
        <v>110</v>
      </c>
      <c r="C17" s="71" t="s">
        <v>113</v>
      </c>
      <c r="D17" s="3"/>
      <c r="E17" s="3"/>
      <c r="F17" s="3"/>
      <c r="G17" s="3"/>
      <c r="H17" s="3"/>
      <c r="I17" s="7"/>
      <c r="K17" s="42"/>
      <c r="L17" s="42"/>
      <c r="M17" s="42"/>
    </row>
    <row r="18">
      <c r="A18" s="51"/>
      <c r="B18" s="9" t="s">
        <v>115</v>
      </c>
      <c r="C18" s="46" t="s">
        <v>116</v>
      </c>
      <c r="D18" s="3"/>
      <c r="E18" s="3"/>
      <c r="F18" s="3"/>
      <c r="G18" s="3"/>
      <c r="H18" s="3"/>
      <c r="I18" s="7"/>
      <c r="K18" s="42"/>
      <c r="L18" s="42"/>
      <c r="M18" s="42"/>
    </row>
    <row r="19">
      <c r="A19" s="51"/>
      <c r="B19" s="9" t="s">
        <v>119</v>
      </c>
      <c r="C19" s="46" t="s">
        <v>120</v>
      </c>
      <c r="D19" s="3"/>
      <c r="E19" s="3"/>
      <c r="F19" s="3"/>
      <c r="G19" s="3"/>
      <c r="H19" s="3"/>
      <c r="I19" s="7"/>
      <c r="K19" s="42"/>
      <c r="L19" s="42"/>
      <c r="M19" s="42"/>
    </row>
    <row r="20">
      <c r="A20" s="49"/>
      <c r="B20" s="9" t="s">
        <v>122</v>
      </c>
      <c r="C20" s="46" t="s">
        <v>123</v>
      </c>
      <c r="D20" s="3"/>
      <c r="E20" s="3"/>
      <c r="F20" s="3"/>
      <c r="G20" s="3"/>
      <c r="H20" s="3"/>
      <c r="I20" s="7"/>
      <c r="K20" s="42"/>
      <c r="L20" s="42"/>
      <c r="M20" s="42"/>
    </row>
    <row r="21">
      <c r="A21" s="44" t="s">
        <v>124</v>
      </c>
      <c r="B21" s="9" t="s">
        <v>125</v>
      </c>
      <c r="C21" s="46" t="s">
        <v>126</v>
      </c>
      <c r="D21" s="3"/>
      <c r="E21" s="3"/>
      <c r="F21" s="3"/>
      <c r="G21" s="3"/>
      <c r="H21" s="3"/>
      <c r="I21" s="7"/>
      <c r="K21" s="42"/>
      <c r="L21" s="42"/>
      <c r="M21" s="42"/>
    </row>
    <row r="22">
      <c r="A22" s="49"/>
      <c r="B22" s="9" t="s">
        <v>127</v>
      </c>
      <c r="C22" s="46" t="s">
        <v>128</v>
      </c>
      <c r="D22" s="3"/>
      <c r="E22" s="3"/>
      <c r="F22" s="3"/>
      <c r="G22" s="3"/>
      <c r="H22" s="3"/>
      <c r="I22" s="7"/>
      <c r="K22" s="42"/>
      <c r="L22" s="42"/>
      <c r="M22" s="42"/>
    </row>
    <row r="23">
      <c r="A23" s="44" t="s">
        <v>28</v>
      </c>
      <c r="B23" s="9" t="s">
        <v>129</v>
      </c>
      <c r="C23" s="46" t="s">
        <v>130</v>
      </c>
      <c r="D23" s="3"/>
      <c r="E23" s="3"/>
      <c r="F23" s="3"/>
      <c r="G23" s="3"/>
      <c r="H23" s="3"/>
      <c r="I23" s="7"/>
      <c r="K23" s="42"/>
      <c r="L23" s="42"/>
      <c r="M23" s="42"/>
    </row>
    <row r="24">
      <c r="A24" s="51"/>
      <c r="B24" s="9" t="s">
        <v>131</v>
      </c>
      <c r="C24" s="46" t="s">
        <v>132</v>
      </c>
      <c r="D24" s="3"/>
      <c r="E24" s="3"/>
      <c r="F24" s="3"/>
      <c r="G24" s="3"/>
      <c r="H24" s="3"/>
      <c r="I24" s="7"/>
      <c r="K24" s="42"/>
      <c r="L24" s="42"/>
      <c r="M24" s="42"/>
    </row>
    <row r="25">
      <c r="A25" s="49"/>
      <c r="B25" s="9" t="s">
        <v>133</v>
      </c>
      <c r="C25" s="46" t="s">
        <v>134</v>
      </c>
      <c r="D25" s="3"/>
      <c r="E25" s="3"/>
      <c r="F25" s="3"/>
      <c r="G25" s="3"/>
      <c r="H25" s="3"/>
      <c r="I25" s="7"/>
      <c r="K25" s="42"/>
      <c r="L25" s="42"/>
      <c r="M25" s="42"/>
    </row>
    <row r="26">
      <c r="A26" s="44" t="s">
        <v>32</v>
      </c>
      <c r="B26" s="9" t="s">
        <v>135</v>
      </c>
      <c r="C26" s="46" t="s">
        <v>136</v>
      </c>
      <c r="D26" s="3"/>
      <c r="E26" s="3"/>
      <c r="F26" s="3"/>
      <c r="G26" s="3"/>
      <c r="H26" s="3"/>
      <c r="I26" s="7"/>
      <c r="K26" s="42"/>
      <c r="L26" s="42"/>
      <c r="M26" s="42"/>
    </row>
    <row r="27">
      <c r="A27" s="49"/>
      <c r="B27" s="9" t="s">
        <v>137</v>
      </c>
      <c r="C27" s="46" t="s">
        <v>138</v>
      </c>
      <c r="D27" s="3"/>
      <c r="E27" s="3"/>
      <c r="F27" s="3"/>
      <c r="G27" s="3"/>
      <c r="H27" s="3"/>
      <c r="I27" s="7"/>
      <c r="K27" s="42"/>
      <c r="L27" s="42"/>
      <c r="M27" s="42"/>
    </row>
    <row r="28">
      <c r="A28" s="8" t="s">
        <v>35</v>
      </c>
      <c r="B28" s="9" t="s">
        <v>139</v>
      </c>
      <c r="C28" s="46" t="s">
        <v>140</v>
      </c>
      <c r="D28" s="3"/>
      <c r="E28" s="3"/>
      <c r="F28" s="3"/>
      <c r="G28" s="3"/>
      <c r="H28" s="3"/>
      <c r="I28" s="7"/>
      <c r="K28" s="42"/>
      <c r="L28" s="42"/>
      <c r="M28" s="42"/>
    </row>
    <row r="29">
      <c r="A29" s="42"/>
      <c r="B29" s="42"/>
      <c r="C29" s="42"/>
      <c r="D29" s="42"/>
      <c r="E29" s="42"/>
      <c r="F29" s="42"/>
      <c r="G29" s="42"/>
      <c r="H29" s="42"/>
      <c r="I29" s="42"/>
      <c r="J29" s="42"/>
      <c r="K29" s="42"/>
      <c r="L29" s="42"/>
      <c r="M29" s="42"/>
    </row>
    <row r="30">
      <c r="A30" s="90" t="s">
        <v>148</v>
      </c>
      <c r="B30" s="42"/>
      <c r="C30" s="42"/>
      <c r="D30" s="42"/>
      <c r="E30" s="42"/>
      <c r="F30" s="42"/>
      <c r="G30" s="42"/>
      <c r="H30" s="42"/>
      <c r="I30" s="42"/>
      <c r="J30" s="42"/>
      <c r="K30" s="42"/>
      <c r="L30" s="42"/>
      <c r="M30" s="42"/>
    </row>
    <row r="31">
      <c r="A31" s="91" t="s">
        <v>150</v>
      </c>
      <c r="B31" s="42"/>
      <c r="C31" s="42"/>
      <c r="D31" s="42"/>
      <c r="E31" s="42"/>
      <c r="F31" s="42"/>
      <c r="G31" s="42"/>
      <c r="H31" s="42"/>
      <c r="I31" s="42"/>
      <c r="J31" s="42"/>
      <c r="K31" s="42"/>
      <c r="L31" s="42"/>
      <c r="M31" s="42"/>
    </row>
    <row r="32">
      <c r="A32" s="1" t="s">
        <v>83</v>
      </c>
      <c r="B32" s="2" t="s">
        <v>151</v>
      </c>
      <c r="C32" s="3"/>
      <c r="D32" s="3"/>
      <c r="E32" s="3"/>
      <c r="F32" s="7"/>
      <c r="I32" s="42"/>
      <c r="J32" s="42"/>
      <c r="K32" s="42"/>
      <c r="L32" s="42"/>
      <c r="M32" s="42"/>
    </row>
    <row r="33">
      <c r="A33" s="92" t="s">
        <v>145</v>
      </c>
      <c r="B33" s="46" t="s">
        <v>152</v>
      </c>
      <c r="C33" s="3"/>
      <c r="D33" s="3"/>
      <c r="E33" s="3"/>
      <c r="F33" s="7"/>
      <c r="I33" s="42"/>
      <c r="J33" s="42"/>
      <c r="K33" s="42"/>
      <c r="L33" s="42"/>
      <c r="M33" s="42"/>
    </row>
    <row r="34">
      <c r="A34" s="9" t="s">
        <v>153</v>
      </c>
      <c r="B34" s="46" t="s">
        <v>154</v>
      </c>
      <c r="C34" s="3"/>
      <c r="D34" s="3"/>
      <c r="E34" s="3"/>
      <c r="F34" s="7"/>
      <c r="I34" s="42"/>
      <c r="J34" s="42"/>
      <c r="K34" s="42"/>
      <c r="L34" s="42"/>
      <c r="M34" s="42"/>
    </row>
    <row r="35">
      <c r="A35" s="92" t="s">
        <v>147</v>
      </c>
      <c r="B35" s="46" t="s">
        <v>155</v>
      </c>
      <c r="C35" s="3"/>
      <c r="D35" s="3"/>
      <c r="E35" s="3"/>
      <c r="F35" s="7"/>
      <c r="I35" s="42"/>
      <c r="J35" s="42"/>
      <c r="K35" s="42"/>
      <c r="L35" s="42"/>
      <c r="M35" s="42"/>
    </row>
    <row r="36">
      <c r="A36" s="42"/>
      <c r="B36" s="42"/>
      <c r="C36" s="42"/>
      <c r="D36" s="42"/>
      <c r="E36" s="42"/>
      <c r="F36" s="42"/>
      <c r="G36" s="42"/>
      <c r="H36" s="42"/>
      <c r="I36" s="42"/>
      <c r="J36" s="42"/>
      <c r="K36" s="42"/>
      <c r="L36" s="42"/>
      <c r="M36" s="42"/>
    </row>
    <row r="37">
      <c r="A37" s="90" t="s">
        <v>156</v>
      </c>
      <c r="B37" s="42"/>
      <c r="C37" s="42"/>
      <c r="D37" s="42"/>
      <c r="E37" s="42"/>
      <c r="F37" s="42"/>
      <c r="G37" s="42"/>
      <c r="H37" s="42"/>
      <c r="I37" s="42"/>
      <c r="J37" s="42"/>
      <c r="K37" s="42"/>
      <c r="L37" s="42"/>
      <c r="M37" s="42"/>
    </row>
    <row r="38">
      <c r="A38" s="94" t="s">
        <v>157</v>
      </c>
      <c r="B38" s="42"/>
      <c r="C38" s="42"/>
      <c r="D38" s="42"/>
      <c r="E38" s="42"/>
      <c r="F38" s="42"/>
      <c r="G38" s="42"/>
      <c r="H38" s="42"/>
      <c r="I38" s="42"/>
      <c r="J38" s="42"/>
      <c r="K38" s="42"/>
      <c r="L38" s="42"/>
      <c r="M38" s="42"/>
    </row>
    <row r="39">
      <c r="A39" s="1" t="s">
        <v>94</v>
      </c>
      <c r="B39" s="96" t="s">
        <v>161</v>
      </c>
      <c r="C39" s="3"/>
      <c r="D39" s="3"/>
      <c r="E39" s="7"/>
      <c r="F39" s="1" t="s">
        <v>163</v>
      </c>
      <c r="G39" s="1" t="s">
        <v>164</v>
      </c>
      <c r="H39" s="2" t="s">
        <v>166</v>
      </c>
      <c r="I39" s="7"/>
      <c r="J39" s="2" t="s">
        <v>167</v>
      </c>
      <c r="K39" s="7"/>
      <c r="M39" s="42"/>
    </row>
    <row r="40">
      <c r="A40" s="8" t="s">
        <v>147</v>
      </c>
      <c r="B40" s="99" t="s">
        <v>169</v>
      </c>
      <c r="C40" s="3"/>
      <c r="D40" s="3"/>
      <c r="E40" s="7"/>
      <c r="F40" s="100" t="s">
        <v>170</v>
      </c>
      <c r="G40" s="100" t="s">
        <v>171</v>
      </c>
      <c r="H40" s="46" t="s">
        <v>172</v>
      </c>
      <c r="I40" s="7"/>
      <c r="J40" s="101" t="s">
        <v>173</v>
      </c>
      <c r="K40" s="7"/>
      <c r="M40" s="42"/>
    </row>
    <row r="41">
      <c r="A41" s="8" t="s">
        <v>153</v>
      </c>
      <c r="B41" s="99" t="s">
        <v>174</v>
      </c>
      <c r="C41" s="3"/>
      <c r="D41" s="3"/>
      <c r="E41" s="7"/>
      <c r="F41" s="100" t="s">
        <v>175</v>
      </c>
      <c r="G41" s="100" t="s">
        <v>176</v>
      </c>
      <c r="H41" s="46" t="s">
        <v>177</v>
      </c>
      <c r="I41" s="7"/>
      <c r="J41" s="101" t="s">
        <v>178</v>
      </c>
      <c r="K41" s="7"/>
      <c r="M41" s="42"/>
    </row>
    <row r="42">
      <c r="A42" s="8" t="s">
        <v>145</v>
      </c>
      <c r="B42" s="99" t="s">
        <v>179</v>
      </c>
      <c r="C42" s="3"/>
      <c r="D42" s="3"/>
      <c r="E42" s="7"/>
      <c r="F42" s="100" t="s">
        <v>180</v>
      </c>
      <c r="G42" s="100" t="s">
        <v>181</v>
      </c>
      <c r="H42" s="46" t="s">
        <v>182</v>
      </c>
      <c r="I42" s="7"/>
      <c r="J42" s="101" t="s">
        <v>183</v>
      </c>
      <c r="K42" s="7"/>
      <c r="M42" s="42"/>
    </row>
    <row r="43">
      <c r="A43" s="42"/>
      <c r="B43" s="42"/>
      <c r="C43" s="42"/>
      <c r="D43" s="42"/>
      <c r="E43" s="42"/>
      <c r="F43" s="42"/>
      <c r="G43" s="42"/>
      <c r="H43" s="42"/>
      <c r="I43" s="42"/>
      <c r="J43" s="42"/>
      <c r="K43" s="42"/>
      <c r="L43" s="42"/>
      <c r="M43" s="42"/>
    </row>
    <row r="44">
      <c r="A44" s="90" t="s">
        <v>184</v>
      </c>
      <c r="B44" s="42"/>
      <c r="C44" s="42"/>
      <c r="D44" s="42"/>
      <c r="E44" s="42"/>
      <c r="F44" s="42"/>
      <c r="G44" s="42"/>
      <c r="H44" s="42"/>
      <c r="I44" s="42"/>
      <c r="J44" s="42"/>
      <c r="K44" s="42"/>
      <c r="L44" s="42"/>
      <c r="M44" s="42"/>
    </row>
    <row r="45">
      <c r="A45" s="102" t="s">
        <v>185</v>
      </c>
      <c r="M45" s="42"/>
    </row>
    <row r="46">
      <c r="A46" s="42"/>
      <c r="B46" s="42"/>
      <c r="C46" s="42"/>
      <c r="D46" s="42"/>
      <c r="E46" s="42"/>
      <c r="F46" s="42"/>
      <c r="G46" s="42"/>
      <c r="H46" s="42"/>
      <c r="I46" s="42"/>
      <c r="J46" s="42"/>
      <c r="K46" s="42"/>
      <c r="L46" s="42"/>
      <c r="M46" s="42"/>
    </row>
    <row r="47">
      <c r="A47" s="103" t="s">
        <v>83</v>
      </c>
      <c r="B47" s="103" t="s">
        <v>94</v>
      </c>
      <c r="C47" s="103" t="s">
        <v>186</v>
      </c>
      <c r="F47" s="42"/>
      <c r="G47" s="42"/>
      <c r="H47" s="42"/>
      <c r="I47" s="42"/>
      <c r="J47" s="42"/>
      <c r="K47" s="42"/>
      <c r="L47" s="42"/>
      <c r="M47" s="42"/>
    </row>
    <row r="48">
      <c r="A48" s="105" t="s">
        <v>145</v>
      </c>
      <c r="B48" s="105" t="s">
        <v>145</v>
      </c>
      <c r="C48" s="105" t="s">
        <v>187</v>
      </c>
      <c r="F48" s="42"/>
      <c r="G48" s="42"/>
      <c r="H48" s="42"/>
      <c r="I48" s="42"/>
      <c r="J48" s="42"/>
      <c r="K48" s="42"/>
      <c r="L48" s="42"/>
      <c r="M48" s="42"/>
    </row>
    <row r="49">
      <c r="A49" s="105" t="s">
        <v>145</v>
      </c>
      <c r="B49" s="107" t="s">
        <v>153</v>
      </c>
      <c r="C49" s="108" t="s">
        <v>188</v>
      </c>
      <c r="F49" s="42"/>
      <c r="G49" s="42"/>
      <c r="H49" s="42"/>
      <c r="I49" s="42"/>
      <c r="J49" s="42"/>
      <c r="K49" s="42"/>
      <c r="L49" s="42"/>
      <c r="M49" s="42"/>
    </row>
    <row r="50">
      <c r="A50" s="107" t="s">
        <v>153</v>
      </c>
      <c r="B50" s="105" t="s">
        <v>145</v>
      </c>
      <c r="C50" s="49"/>
      <c r="F50" s="42"/>
      <c r="G50" s="42"/>
      <c r="H50" s="42"/>
      <c r="I50" s="42"/>
      <c r="J50" s="42"/>
      <c r="K50" s="42"/>
      <c r="L50" s="42"/>
      <c r="M50" s="42"/>
    </row>
    <row r="51">
      <c r="A51" s="105" t="s">
        <v>145</v>
      </c>
      <c r="B51" s="109" t="s">
        <v>147</v>
      </c>
      <c r="C51" s="111" t="s">
        <v>191</v>
      </c>
      <c r="F51" s="42"/>
      <c r="G51" s="42"/>
      <c r="H51" s="42"/>
      <c r="I51" s="42"/>
      <c r="J51" s="42"/>
      <c r="K51" s="42"/>
      <c r="L51" s="42"/>
      <c r="M51" s="42"/>
    </row>
    <row r="52">
      <c r="A52" s="107" t="s">
        <v>153</v>
      </c>
      <c r="B52" s="107" t="s">
        <v>153</v>
      </c>
      <c r="C52" s="51"/>
      <c r="F52" s="42"/>
      <c r="G52" s="42"/>
      <c r="H52" s="42"/>
      <c r="I52" s="42"/>
      <c r="J52" s="42"/>
      <c r="K52" s="42"/>
      <c r="L52" s="42"/>
      <c r="M52" s="42"/>
    </row>
    <row r="53">
      <c r="A53" s="109" t="s">
        <v>147</v>
      </c>
      <c r="B53" s="105" t="s">
        <v>145</v>
      </c>
      <c r="C53" s="49"/>
      <c r="F53" s="42"/>
      <c r="G53" s="42"/>
      <c r="H53" s="42"/>
      <c r="I53" s="42"/>
      <c r="J53" s="42"/>
      <c r="K53" s="42"/>
      <c r="L53" s="42"/>
      <c r="M53" s="42"/>
    </row>
    <row r="54">
      <c r="A54" s="107" t="s">
        <v>153</v>
      </c>
      <c r="B54" s="109" t="s">
        <v>147</v>
      </c>
      <c r="C54" s="111" t="s">
        <v>194</v>
      </c>
      <c r="F54" s="42"/>
      <c r="G54" s="42"/>
      <c r="H54" s="42"/>
      <c r="I54" s="42"/>
      <c r="J54" s="42"/>
      <c r="K54" s="42"/>
      <c r="L54" s="42"/>
      <c r="M54" s="42"/>
    </row>
    <row r="55">
      <c r="A55" s="109" t="s">
        <v>147</v>
      </c>
      <c r="B55" s="107" t="s">
        <v>153</v>
      </c>
      <c r="C55" s="49"/>
      <c r="F55" s="42"/>
      <c r="G55" s="42"/>
      <c r="H55" s="42"/>
      <c r="I55" s="42"/>
      <c r="J55" s="42"/>
      <c r="K55" s="42"/>
      <c r="L55" s="42"/>
      <c r="M55" s="42"/>
    </row>
    <row r="56">
      <c r="A56" s="109" t="s">
        <v>147</v>
      </c>
      <c r="B56" s="109" t="s">
        <v>147</v>
      </c>
      <c r="C56" s="109" t="s">
        <v>196</v>
      </c>
      <c r="F56" s="42"/>
      <c r="G56" s="42"/>
      <c r="H56" s="42"/>
      <c r="I56" s="42"/>
      <c r="J56" s="42"/>
      <c r="K56" s="42"/>
      <c r="L56" s="42"/>
      <c r="M56" s="42"/>
    </row>
    <row r="57">
      <c r="A57" s="42"/>
      <c r="B57" s="42"/>
      <c r="C57" s="42"/>
      <c r="D57" s="42"/>
      <c r="E57" s="42"/>
      <c r="F57" s="42"/>
      <c r="G57" s="42"/>
      <c r="H57" s="42"/>
      <c r="I57" s="42"/>
      <c r="J57" s="42"/>
      <c r="K57" s="42"/>
      <c r="L57" s="42"/>
      <c r="M57" s="42"/>
    </row>
    <row r="58">
      <c r="A58" s="90" t="s">
        <v>199</v>
      </c>
      <c r="B58" s="42"/>
      <c r="C58" s="42"/>
      <c r="D58" s="42"/>
      <c r="E58" s="42"/>
      <c r="F58" s="42"/>
      <c r="G58" s="42"/>
      <c r="H58" s="42"/>
      <c r="I58" s="42"/>
      <c r="J58" s="42"/>
      <c r="K58" s="42"/>
      <c r="L58" s="42"/>
      <c r="M58" s="42"/>
    </row>
    <row r="59">
      <c r="A59" s="116" t="s">
        <v>200</v>
      </c>
      <c r="B59" s="96" t="s">
        <v>47</v>
      </c>
      <c r="C59" s="3"/>
      <c r="D59" s="3"/>
      <c r="E59" s="3"/>
      <c r="F59" s="3"/>
      <c r="G59" s="3"/>
      <c r="H59" s="3"/>
      <c r="I59" s="3"/>
      <c r="J59" s="3"/>
      <c r="K59" s="7"/>
      <c r="M59" s="42"/>
    </row>
    <row r="60">
      <c r="A60" s="117" t="s">
        <v>158</v>
      </c>
      <c r="B60" s="46" t="s">
        <v>202</v>
      </c>
      <c r="C60" s="3"/>
      <c r="D60" s="3"/>
      <c r="E60" s="3"/>
      <c r="F60" s="3"/>
      <c r="G60" s="3"/>
      <c r="H60" s="3"/>
      <c r="I60" s="3"/>
      <c r="J60" s="3"/>
      <c r="K60" s="7"/>
      <c r="M60" s="42"/>
    </row>
    <row r="61">
      <c r="A61" s="117" t="s">
        <v>203</v>
      </c>
      <c r="B61" s="46" t="s">
        <v>204</v>
      </c>
      <c r="C61" s="3"/>
      <c r="D61" s="3"/>
      <c r="E61" s="3"/>
      <c r="F61" s="3"/>
      <c r="G61" s="3"/>
      <c r="H61" s="3"/>
      <c r="I61" s="3"/>
      <c r="J61" s="3"/>
      <c r="K61" s="7"/>
      <c r="M61" s="42"/>
    </row>
    <row r="62">
      <c r="A62" s="117" t="s">
        <v>205</v>
      </c>
      <c r="B62" s="46" t="s">
        <v>206</v>
      </c>
      <c r="C62" s="3"/>
      <c r="D62" s="3"/>
      <c r="E62" s="3"/>
      <c r="F62" s="3"/>
      <c r="G62" s="3"/>
      <c r="H62" s="3"/>
      <c r="I62" s="3"/>
      <c r="J62" s="3"/>
      <c r="K62" s="7"/>
      <c r="M62" s="42"/>
    </row>
    <row r="63">
      <c r="A63" s="117" t="s">
        <v>207</v>
      </c>
      <c r="B63" s="46" t="s">
        <v>208</v>
      </c>
      <c r="C63" s="3"/>
      <c r="D63" s="3"/>
      <c r="E63" s="3"/>
      <c r="F63" s="3"/>
      <c r="G63" s="3"/>
      <c r="H63" s="3"/>
      <c r="I63" s="3"/>
      <c r="J63" s="3"/>
      <c r="K63" s="7"/>
      <c r="M63" s="42"/>
    </row>
    <row r="64">
      <c r="A64" s="117" t="s">
        <v>209</v>
      </c>
      <c r="B64" s="46" t="s">
        <v>210</v>
      </c>
      <c r="C64" s="3"/>
      <c r="D64" s="3"/>
      <c r="E64" s="3"/>
      <c r="F64" s="3"/>
      <c r="G64" s="3"/>
      <c r="H64" s="3"/>
      <c r="I64" s="3"/>
      <c r="J64" s="3"/>
      <c r="K64" s="7"/>
      <c r="M64" s="42"/>
    </row>
    <row r="65">
      <c r="A65" s="42"/>
      <c r="B65" s="42"/>
      <c r="C65" s="42"/>
      <c r="D65" s="42"/>
      <c r="E65" s="42"/>
      <c r="F65" s="42"/>
      <c r="G65" s="42"/>
      <c r="H65" s="42"/>
      <c r="I65" s="42"/>
      <c r="J65" s="42"/>
      <c r="K65" s="42"/>
      <c r="L65" s="42"/>
      <c r="M65" s="42"/>
    </row>
    <row r="66">
      <c r="A66" s="90" t="s">
        <v>211</v>
      </c>
      <c r="B66" s="42"/>
      <c r="C66" s="42"/>
      <c r="D66" s="42"/>
      <c r="E66" s="42"/>
      <c r="F66" s="42"/>
      <c r="G66" s="42"/>
      <c r="H66" s="42"/>
      <c r="I66" s="42"/>
      <c r="J66" s="42"/>
      <c r="K66" s="42"/>
      <c r="L66" s="42"/>
      <c r="M66" s="42"/>
    </row>
    <row r="67">
      <c r="A67" s="128" t="s">
        <v>201</v>
      </c>
      <c r="B67" s="129" t="s">
        <v>212</v>
      </c>
      <c r="C67" s="3"/>
      <c r="D67" s="3"/>
      <c r="E67" s="3"/>
      <c r="F67" s="7"/>
      <c r="G67" s="42"/>
      <c r="H67" s="42"/>
      <c r="I67" s="42"/>
      <c r="J67" s="42"/>
      <c r="K67" s="42"/>
      <c r="L67" s="42"/>
      <c r="M67" s="42"/>
    </row>
    <row r="68">
      <c r="A68" s="128" t="s">
        <v>213</v>
      </c>
      <c r="B68" s="129" t="s">
        <v>214</v>
      </c>
      <c r="C68" s="3"/>
      <c r="D68" s="3"/>
      <c r="E68" s="3"/>
      <c r="F68" s="7"/>
      <c r="G68" s="42"/>
      <c r="H68" s="42"/>
      <c r="I68" s="42"/>
      <c r="J68" s="42"/>
      <c r="K68" s="42"/>
      <c r="L68" s="42"/>
      <c r="M68" s="42"/>
    </row>
    <row r="69">
      <c r="A69" s="128" t="s">
        <v>215</v>
      </c>
      <c r="B69" s="129" t="s">
        <v>216</v>
      </c>
      <c r="C69" s="3"/>
      <c r="D69" s="3"/>
      <c r="E69" s="3"/>
      <c r="F69" s="7"/>
      <c r="G69" s="42"/>
      <c r="H69" s="42"/>
      <c r="I69" s="42"/>
      <c r="J69" s="42"/>
      <c r="K69" s="42"/>
      <c r="L69" s="42"/>
      <c r="M69" s="42"/>
    </row>
    <row r="70">
      <c r="A70" s="130" t="s">
        <v>168</v>
      </c>
      <c r="B70" s="131" t="s">
        <v>217</v>
      </c>
      <c r="C70" s="3"/>
      <c r="D70" s="3"/>
      <c r="E70" s="3"/>
      <c r="F70" s="7"/>
      <c r="G70" s="42"/>
      <c r="H70" s="42"/>
      <c r="I70" s="42"/>
      <c r="J70" s="42"/>
      <c r="K70" s="42"/>
      <c r="L70" s="42"/>
      <c r="M70" s="42"/>
    </row>
    <row r="71">
      <c r="A71" s="132"/>
      <c r="B71" s="42"/>
      <c r="C71" s="42"/>
      <c r="D71" s="42"/>
      <c r="E71" s="42"/>
      <c r="F71" s="42"/>
      <c r="G71" s="42"/>
      <c r="H71" s="42"/>
      <c r="I71" s="42"/>
      <c r="J71" s="42"/>
      <c r="K71" s="42"/>
      <c r="L71" s="42"/>
      <c r="M71" s="42"/>
    </row>
    <row r="72">
      <c r="A72" s="42"/>
      <c r="B72" s="42"/>
      <c r="C72" s="42"/>
      <c r="D72" s="42"/>
      <c r="E72" s="42"/>
      <c r="F72" s="42"/>
      <c r="G72" s="42"/>
      <c r="H72" s="42"/>
      <c r="I72" s="42"/>
      <c r="J72" s="42"/>
      <c r="K72" s="42"/>
      <c r="L72" s="42"/>
      <c r="M72" s="42"/>
    </row>
  </sheetData>
  <mergeCells count="63">
    <mergeCell ref="H40:I40"/>
    <mergeCell ref="J40:K40"/>
    <mergeCell ref="B41:E41"/>
    <mergeCell ref="H41:I41"/>
    <mergeCell ref="J41:K41"/>
    <mergeCell ref="B42:E42"/>
    <mergeCell ref="H42:I42"/>
    <mergeCell ref="J42:K42"/>
    <mergeCell ref="A45:L45"/>
    <mergeCell ref="A6:A8"/>
    <mergeCell ref="A9:A16"/>
    <mergeCell ref="A17:A20"/>
    <mergeCell ref="A21:A22"/>
    <mergeCell ref="A23:A25"/>
    <mergeCell ref="A26:A27"/>
    <mergeCell ref="C3:I3"/>
    <mergeCell ref="A4:A5"/>
    <mergeCell ref="C4:I4"/>
    <mergeCell ref="C5:I5"/>
    <mergeCell ref="C6:I6"/>
    <mergeCell ref="C7:I7"/>
    <mergeCell ref="C8:I8"/>
    <mergeCell ref="C9:I9"/>
    <mergeCell ref="C10:I10"/>
    <mergeCell ref="C11:I11"/>
    <mergeCell ref="C12:I12"/>
    <mergeCell ref="C13:I13"/>
    <mergeCell ref="C14:I14"/>
    <mergeCell ref="C15:I15"/>
    <mergeCell ref="C16:I16"/>
    <mergeCell ref="C17:I17"/>
    <mergeCell ref="C18:I18"/>
    <mergeCell ref="C19:I19"/>
    <mergeCell ref="C20:I20"/>
    <mergeCell ref="C21:I21"/>
    <mergeCell ref="C22:I22"/>
    <mergeCell ref="C23:I23"/>
    <mergeCell ref="C24:I24"/>
    <mergeCell ref="C25:I25"/>
    <mergeCell ref="C26:I26"/>
    <mergeCell ref="C27:I27"/>
    <mergeCell ref="C28:I28"/>
    <mergeCell ref="B32:F32"/>
    <mergeCell ref="B33:F33"/>
    <mergeCell ref="B34:F34"/>
    <mergeCell ref="B35:F35"/>
    <mergeCell ref="B39:E39"/>
    <mergeCell ref="H39:I39"/>
    <mergeCell ref="J39:K39"/>
    <mergeCell ref="B40:E40"/>
    <mergeCell ref="B63:K63"/>
    <mergeCell ref="B64:K64"/>
    <mergeCell ref="B67:F67"/>
    <mergeCell ref="B68:F68"/>
    <mergeCell ref="B69:F69"/>
    <mergeCell ref="B70:F70"/>
    <mergeCell ref="C49:C50"/>
    <mergeCell ref="C51:C53"/>
    <mergeCell ref="C54:C55"/>
    <mergeCell ref="B59:K59"/>
    <mergeCell ref="B60:K60"/>
    <mergeCell ref="B61:K61"/>
    <mergeCell ref="B62:K62"/>
  </mergeCells>
  <drawing r:id="rId1"/>
</worksheet>
</file>