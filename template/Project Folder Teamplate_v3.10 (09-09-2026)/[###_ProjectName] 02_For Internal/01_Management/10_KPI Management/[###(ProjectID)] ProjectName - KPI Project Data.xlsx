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5"/>
    <sheet state="visible" name="1. Overview" sheetId="2" r:id="rId6"/>
    <sheet state="visible" name="2. Project information " sheetId="3" r:id="rId7"/>
    <sheet state="visible" name="3. Weekly raw data" sheetId="4" r:id="rId8"/>
    <sheet state="visible" name="4.1 Project Summary_Sprint" sheetId="5" r:id="rId9"/>
    <sheet state="visible" name="4.2 Project Summary_By Phase" sheetId="6" r:id="rId10"/>
    <sheet state="visible" name="5.1 Chart_By Sprint" sheetId="7" r:id="rId11"/>
    <sheet state="visible" name="5.2 Chart_By Phase" sheetId="8" r:id="rId12"/>
    <sheet state="visible" name="6. KPI analysis" sheetId="9" r:id="rId13"/>
  </sheets>
  <definedNames>
    <definedName hidden="1" localSheetId="7" name="Z_6F086F1D_1F81_42A7_91B7_D0B1885A341B_.wvu.FilterData">'5.2 Chart_By Phase'!$A$7:$D$14</definedName>
    <definedName hidden="1" localSheetId="6" name="Z_6F086F1D_1F81_42A7_91B7_D0B1885A341B_.wvu.FilterData">'5.1 Chart_By Sprint'!$A$7:$D$19</definedName>
    <definedName hidden="1" localSheetId="5" name="Z_E0603825_6846_4218_B292_449A3DAED5E0_.wvu.FilterData">'4.2 Project Summary_By Phase'!$B$6:$J$37</definedName>
    <definedName hidden="1" localSheetId="8" name="Z_E0603825_6846_4218_B292_449A3DAED5E0_.wvu.FilterData">'6. KPI analysis'!$A$6:$I$42</definedName>
    <definedName hidden="1" localSheetId="4" name="Z_E0603825_6846_4218_B292_449A3DAED5E0_.wvu.FilterData">'4.1 Project Summary_Sprint'!$A$6:$I$40</definedName>
  </definedNames>
  <calcPr/>
  <customWorkbookViews>
    <customWorkbookView activeSheetId="0" maximized="1" windowHeight="0" windowWidth="0" guid="{6F086F1D-1F81-42A7-91B7-D0B1885A341B}" name="Filter 1"/>
    <customWorkbookView activeSheetId="0" maximized="1" windowHeight="0" windowWidth="0" guid="{E0603825-6846-4218-B292-449A3DAED5E0}" name="MC"/>
  </customWorkbookViews>
  <pivotCaches>
    <pivotCache cacheId="0" r:id="rId14"/>
    <pivotCache cacheId="1" r:id="rId15"/>
    <pivotCache cacheId="2" r:id="rId1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Đơn vị Sprint dành cho những dự án Release theo Sprint.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Đơn vị Sprint dành cho những dự án Release theo Sprint. 
Đơn vị Week dành cho những dự án Release theo Phase. </t>
      </text>
    </comment>
  </commentList>
</comments>
</file>

<file path=xl/sharedStrings.xml><?xml version="1.0" encoding="utf-8"?>
<sst xmlns="http://schemas.openxmlformats.org/spreadsheetml/2006/main" count="271" uniqueCount="148">
  <si>
    <t>PROJECT KPI DATA</t>
  </si>
  <si>
    <t>No: BM-QT-1706-01</t>
  </si>
  <si>
    <t>Version: 1.6</t>
  </si>
  <si>
    <t>Issue Date: 22/09/2026</t>
  </si>
  <si>
    <t>SUN ASTERISK VIETNAM CO., LTD</t>
  </si>
  <si>
    <t>ISO/IEC 27001:2013&amp;ISO 9001:2015</t>
  </si>
  <si>
    <t>I</t>
  </si>
  <si>
    <t>PURPOSE</t>
  </si>
  <si>
    <t>-</t>
  </si>
  <si>
    <t>Record KPI data of project.</t>
  </si>
  <si>
    <t xml:space="preserve">Project name </t>
  </si>
  <si>
    <t>II</t>
  </si>
  <si>
    <t>SCOPE</t>
  </si>
  <si>
    <t xml:space="preserve"> Apply to all of projects </t>
  </si>
  <si>
    <t>III</t>
  </si>
  <si>
    <t>REFERENCE MATERIAL</t>
  </si>
  <si>
    <t>Phase</t>
  </si>
  <si>
    <t>CEV Center</t>
  </si>
  <si>
    <t>■</t>
  </si>
  <si>
    <t>Sprint</t>
  </si>
  <si>
    <t>Sun* KPI System_Introduction</t>
  </si>
  <si>
    <t>Start date</t>
  </si>
  <si>
    <t>End date</t>
  </si>
  <si>
    <t>Q (Quality)
Number of Internal QA bug in a period of report</t>
  </si>
  <si>
    <t>LỊCH SỬ THAY ĐỔI</t>
  </si>
  <si>
    <t xml:space="preserve">Q (Quality)
 Number of Bug found in UAT phase in a period of report </t>
  </si>
  <si>
    <t>C (Cost): 
Spent time in your project in a period of report (Hours)</t>
  </si>
  <si>
    <t>C (Cost): 
Estimated time in your project in a period of report (Hours)</t>
  </si>
  <si>
    <t>C (Cost)
Spent time for fixing bug in a period of report (Hours)</t>
  </si>
  <si>
    <t xml:space="preserve">M(Management)
Number of ticket closed in a period of report </t>
  </si>
  <si>
    <t xml:space="preserve">M(Management)
Number of total ticket in a period of report </t>
  </si>
  <si>
    <t>STT</t>
  </si>
  <si>
    <t>Other: If your project want to measure 1 or more other KPIs instead of company required ones, please record your idea here. Then PEC team will contact you to make clear your idea.</t>
  </si>
  <si>
    <t>Mục thay đổi</t>
  </si>
  <si>
    <t>PL</t>
  </si>
  <si>
    <r>
      <rPr>
        <rFont val="Times New Roman"/>
        <b/>
        <color rgb="FF000000"/>
        <sz val="12.0"/>
      </rPr>
      <t xml:space="preserve">Which application do you report to?
</t>
    </r>
    <r>
      <rPr>
        <rFont val="Times New Roman"/>
        <b/>
        <i/>
        <color rgb="FF000000"/>
        <sz val="12.0"/>
      </rPr>
      <t>(Web, Mobile App, General)</t>
    </r>
  </si>
  <si>
    <t>Note</t>
  </si>
  <si>
    <t xml:space="preserve">Team Leader </t>
  </si>
  <si>
    <t>Nội dung</t>
  </si>
  <si>
    <t>Customer</t>
  </si>
  <si>
    <t>Ngày thay đổi</t>
  </si>
  <si>
    <t>Status</t>
  </si>
  <si>
    <t>Category</t>
  </si>
  <si>
    <t>Development</t>
  </si>
  <si>
    <t>IV</t>
  </si>
  <si>
    <t>KPI Management Period</t>
  </si>
  <si>
    <t>Ban hành mới</t>
  </si>
  <si>
    <t>CONTENT</t>
  </si>
  <si>
    <t>15/05/2020</t>
  </si>
  <si>
    <t>By Phase</t>
  </si>
  <si>
    <t>Team Size</t>
  </si>
  <si>
    <t xml:space="preserve">Description </t>
  </si>
  <si>
    <t>Sửa đổi:
2. Project information : thêm 2 trường Start date, End date
3. Weekly raw data: thêm 2 cột Start Phase, End Phase
Thêm mới:
6. KPI analysis</t>
  </si>
  <si>
    <t xml:space="preserve">Start Date </t>
  </si>
  <si>
    <t>End Date</t>
  </si>
  <si>
    <t>31/8/2020</t>
  </si>
  <si>
    <t>No.</t>
  </si>
  <si>
    <t>Metrics</t>
  </si>
  <si>
    <t>Calculation</t>
  </si>
  <si>
    <t>Unit</t>
  </si>
  <si>
    <t>Description</t>
  </si>
  <si>
    <t xml:space="preserve">Sửa đổi: 
1. Overview : Thay thế 7 chỉ số thành 6 chỉ số, điều chỉnh tiêu chuẩn của mỗi chỉ số
2. Weekly raw data: thêm mới tiêu chí :Spent time for fixing bug in a period of report (Hours)
Quy đổi đơn vị tính effort từ manday thành man hour
</t>
  </si>
  <si>
    <t>QA Bug Proportion (Q1)</t>
  </si>
  <si>
    <t>Internal Bug Count
/ Total Actual Effort [MH]</t>
  </si>
  <si>
    <t>Bug/Mh</t>
  </si>
  <si>
    <t>The bug implementation proportion before a delivery process comparing with the team's actual effort.
Internal Bug Count:
Bug count found by QAs in our test processes: Integration-test and System-test.
Total Actual effort:
Unit: Man-Hours
Total spent time on some activities as below.
 UI Design
 System Design
 Implementation
 QA Testing
 Bug FixingRetestingetesthe t
If teamRedminedmine (both old redmineRedminedmine Pherusa), the total actual effort is the sum of all spent time in the period of the report.</t>
  </si>
  <si>
    <t>UAT Bug Rate (Q2)</t>
  </si>
  <si>
    <t>( UAT Bug Count/ All Bug Count ) * 100</t>
  </si>
  <si>
    <t>%</t>
  </si>
  <si>
    <t xml:space="preserve">The rate of bug in UAT comparing with all bugs found in some test processes: QA test and UAT test.
  UAT Bug Count:
The bug count found in UAT phase. Usually this bugs are reported by our client.
  All Bug Count:
Total bug count which involves QA bug and UAT bug. </t>
  </si>
  <si>
    <t>Estimation Accuracy Rate (C1)</t>
  </si>
  <si>
    <t>( Total Actual Effort / Total Estimated Effort ) * 100</t>
  </si>
  <si>
    <t xml:space="preserve">Show the deviation of the actual actual effort compared to the estimated effort. Based on which to evaluate the efficiency of resource use in the project.
- The unit of effort is hour.
</t>
  </si>
  <si>
    <t>Bug Handling Cost Rate (C2)</t>
  </si>
  <si>
    <t xml:space="preserve">( Total Bug Handling Effort / Total Actual Effort ) * 100 </t>
  </si>
  <si>
    <t xml:space="preserve">Show how much effort was spent for bug fixing and re-testing.
Total Bug Handling Effort:
Unit: Hour
Bug fixing effort [h] + QA Re-testing effort [h]
Total Actual Effort:
Unit: Hour
Total spent time recorded as actual activity effort.
Need to adjust activity expression to meet with other metrics' one.
</t>
  </si>
  <si>
    <t>Issue Closed Ratio (M1)</t>
  </si>
  <si>
    <t>Update format</t>
  </si>
  <si>
    <t>(Closed Issue Count / All Issue Count)*100</t>
  </si>
  <si>
    <t>Sheet Project Information</t>
  </si>
  <si>
    <t>Thay đổi Project Role theo thay đổi cơ cấu mới của tổ chức
- Remove role SM, GL, PL
- Add mới role PSM</t>
  </si>
  <si>
    <r>
      <rPr>
        <rFont val="Times New Roman"/>
        <b/>
        <color rgb="FFFF0000"/>
        <sz val="12.0"/>
      </rPr>
      <t xml:space="preserve">Sheet [Project Information]
</t>
    </r>
    <r>
      <rPr>
        <rFont val="Times New Roman"/>
        <color theme="1"/>
        <sz val="12.0"/>
      </rPr>
      <t xml:space="preserve">Ghi nhận những thông tin chung của dự án vào Sheet Project Information.
</t>
    </r>
    <r>
      <rPr>
        <rFont val="Times New Roman"/>
        <i/>
        <color theme="1"/>
        <sz val="12.0"/>
      </rPr>
      <t>*Lưu ý</t>
    </r>
    <r>
      <rPr>
        <rFont val="Times New Roman"/>
        <color theme="1"/>
        <sz val="12.0"/>
      </rPr>
      <t xml:space="preserve">: Nếu dự án Release theo từng Phase, PL cần cung cấp thông tin </t>
    </r>
    <r>
      <rPr>
        <rFont val="Times New Roman"/>
        <b/>
        <color theme="1"/>
        <sz val="12.0"/>
      </rPr>
      <t xml:space="preserve">KPI Management Period: By Phase </t>
    </r>
    <r>
      <rPr>
        <rFont val="Times New Roman"/>
        <color theme="1"/>
        <sz val="12.0"/>
      </rPr>
      <t>để các sheet (</t>
    </r>
    <r>
      <rPr>
        <rFont val="Times New Roman"/>
        <i/>
        <color theme="1"/>
        <sz val="12.0"/>
      </rPr>
      <t xml:space="preserve">4.2 Project Summary_By Phase, 5.2 Chart_By Phase) </t>
    </r>
    <r>
      <rPr>
        <rFont val="Times New Roman"/>
        <color theme="1"/>
        <sz val="12.0"/>
      </rPr>
      <t xml:space="preserve"> lên dữ liệu đúng với đặc thù dự án. </t>
    </r>
  </si>
  <si>
    <r>
      <rPr>
        <rFont val="Times New Roman"/>
        <b/>
        <color rgb="FFFF0000"/>
        <sz val="12.0"/>
      </rPr>
      <t xml:space="preserve">Sheet [Weekly raw data sheet]
</t>
    </r>
    <r>
      <rPr>
        <rFont val="Times New Roman"/>
        <color theme="1"/>
        <sz val="12.0"/>
      </rPr>
      <t xml:space="preserve">- Hàng tuần, </t>
    </r>
    <r>
      <rPr>
        <rFont val="Times New Roman"/>
        <b/>
        <color theme="1"/>
        <sz val="12.0"/>
      </rPr>
      <t>PL/BrSe/Teamleader</t>
    </r>
    <r>
      <rPr>
        <rFont val="Times New Roman"/>
        <color theme="1"/>
        <sz val="12.0"/>
      </rPr>
      <t xml:space="preserve"> dự án cập nhật raw data của dự án vào sheet này. </t>
    </r>
  </si>
  <si>
    <t>Overview Sheet</t>
  </si>
  <si>
    <t>Thay đổi công thức Estimation Accuracy 
- Modify (Total Actual Effort / Total  Estimated Effort) * 100</t>
  </si>
  <si>
    <r>
      <rPr>
        <rFont val="Times New Roman"/>
        <b/>
        <color rgb="FFFF0000"/>
        <sz val="12.0"/>
      </rPr>
      <t xml:space="preserve">Sheet [Project Summary]
</t>
    </r>
    <r>
      <rPr>
        <rFont val="Times New Roman"/>
        <color theme="1"/>
        <sz val="12.0"/>
      </rPr>
      <t xml:space="preserve">- Từ dữ liệu được chủ động cập nhật trong [Weekly raw data] Sheet , các chỉ số sẽ được tự động ghi nhận vào [Project Summary] Sheet này theo công thức đã được định sẵn.
- Đối với dự án quản lý Release theo Sprint. các chỉ số KPI sẽ tự động ghi nhận vào 4.1 Project Summary_Sprint. 
- Đối với dự án quản lý Release theo Phase, các chỉ số KPI sẽ tự động ghi nhận đồng thời tại  4.1 Project Summary_Sprint. và  4.2 Project Summary_By Phase. </t>
    </r>
  </si>
  <si>
    <t>Sheet Project Information
Sheet Weekly raw data</t>
  </si>
  <si>
    <r>
      <rPr>
        <rFont val="Times New Roman"/>
        <b/>
        <color rgb="FFFF0000"/>
        <sz val="12.0"/>
      </rPr>
      <t xml:space="preserve">Sheet [Chart]
</t>
    </r>
    <r>
      <rPr>
        <rFont val="Times New Roman"/>
        <color theme="1"/>
        <sz val="12.0"/>
      </rPr>
      <t>- Theo dõi xu hướng dự án theo các kỳ báo cáo để nhìn được những phản ánh từ data trong kỳ báo cáo đó. Gồm 5.1 Chart_By Sprint và 5.2 Chart_By Phase
- Từ đó đưa ra giải pháp, hành động hoặc cần có sự tham gia các cấp lãnh đạo( trong trường hợp cần thiết)</t>
    </r>
  </si>
  <si>
    <t>Sửa đổi: 
2. Project information: thêm mới KPI Management Period. 
3. Weekly raw data: thêm mới cột Phase dành cho những dự án quản lý KPI theo Phase. 
Thêm mới sheet: 
4.2 Project Summary_By Phase: 
5.2 Chart_By Phase</t>
  </si>
  <si>
    <r>
      <rPr>
        <rFont val="Times New Roman"/>
        <color theme="1"/>
        <sz val="12.0"/>
      </rPr>
      <t xml:space="preserve">Chỉ số </t>
    </r>
    <r>
      <rPr>
        <rFont val="Times New Roman"/>
        <b/>
        <color rgb="FF0000FF"/>
        <sz val="12.0"/>
      </rPr>
      <t>Upper Control Limit(UCL) và Lower Control Limit(LCL), Target</t>
    </r>
    <r>
      <rPr>
        <rFont val="Times New Roman"/>
        <color rgb="FF0000FF"/>
        <sz val="12.0"/>
      </rPr>
      <t xml:space="preserve"> </t>
    </r>
    <r>
      <rPr>
        <rFont val="Times New Roman"/>
        <b/>
        <color rgb="FF0000FF"/>
        <sz val="12.0"/>
      </rPr>
      <t>đã được Công ty</t>
    </r>
    <r>
      <rPr>
        <rFont val="Times New Roman"/>
        <color rgb="FFFF9900"/>
        <sz val="12.0"/>
      </rPr>
      <t xml:space="preserve"> </t>
    </r>
    <r>
      <rPr>
        <rFont val="Times New Roman"/>
        <color theme="1"/>
        <sz val="12.0"/>
      </rPr>
      <t xml:space="preserve">tính toán, thống kê, chọn lựa thông qua dữ liệu của năm 2020
- Data của các tuần nếu nằm ngoài dải UCL/LCL sẽ cần phân tích và đưa ra action phù hợp( Nếu có)
</t>
    </r>
  </si>
  <si>
    <t>KPI metric</t>
  </si>
  <si>
    <t>UCL</t>
  </si>
  <si>
    <t>Target</t>
  </si>
  <si>
    <t>LCL</t>
  </si>
  <si>
    <t>Web</t>
  </si>
  <si>
    <t>Q1 QA Bug Proportion</t>
  </si>
  <si>
    <t>Bug/Md</t>
  </si>
  <si>
    <t>Q2 UAT Bug Rate</t>
  </si>
  <si>
    <t>C1 Estimation Accuracy Rate</t>
  </si>
  <si>
    <t>C2 Bug Handling Cost Rate</t>
  </si>
  <si>
    <t>M1 Issue Closed Ratio</t>
  </si>
  <si>
    <t xml:space="preserve">Cập nhật Project role theo cơ cấu tổ chức mới của công ty: 
- PSM -&gt; Project Leader (PL)
- UM -&gt; Software Delivery Manager (SDM)				</t>
  </si>
  <si>
    <t>19/12/2024</t>
  </si>
  <si>
    <t>9</t>
  </si>
  <si>
    <t>All sheet</t>
  </si>
  <si>
    <t>Update mã biểu mẫu theo tiêu chuẩn ISO.</t>
  </si>
  <si>
    <t>22/09/2026</t>
  </si>
  <si>
    <t>Project KPI Data</t>
  </si>
  <si>
    <t>Start phase</t>
  </si>
  <si>
    <t>End phase</t>
  </si>
  <si>
    <t>QA Bug Proportion
 (Q1) #/Mh
Internal Bug Count
/ Total Actual Effort [MH]</t>
  </si>
  <si>
    <t>UAT Bug Rate 
(Q2)%
( UAT Bug Count/ All Bug Count ) * 100</t>
  </si>
  <si>
    <t>Estimation Accuracy Rate
 (C1)%
( Total Actual Effort / Total Estimated Effort ) * 100</t>
  </si>
  <si>
    <t xml:space="preserve">Bug Handling Cost Rate 
(C2)%
( Total Bug Handling Effort / Total Actual Effort ) * 100 </t>
  </si>
  <si>
    <t>Issue Closed Ratio 
(M1)%
(Closed Issue Count / All Issue Count)*100</t>
  </si>
  <si>
    <t>Because one ticket was waiting for the client to review the PR, another ticket was waiting for stakeholders to respond, and three other tickets were awaiting review by a team member who was off that day.</t>
  </si>
  <si>
    <t>Sprint/ Week</t>
  </si>
  <si>
    <t>QA Bug Proportion 
(Q1) #/Mh
Internal Bug Count
/ Total Actual Effort [MH]</t>
  </si>
  <si>
    <t>Estimation Accuracy Rate 
(C1)%
( Total Actual Effort / Total Estimated Effort ) * 100</t>
  </si>
  <si>
    <t>In this sprint, one of our team members took 2 days off. When he returned to work, there were a lot of investigation reports and pull requests for him to review. These tasks took up his time and hindered him from handling the implementation tasks. 
Another reason is that the engineers spent time discussing the requirements of a new user story.</t>
  </si>
  <si>
    <t>Abnormal KPI</t>
  </si>
  <si>
    <t xml:space="preserve">Target </t>
  </si>
  <si>
    <t>Cause</t>
  </si>
  <si>
    <t>Action of project</t>
  </si>
  <si>
    <t>Follow up</t>
  </si>
  <si>
    <t>Tracking result</t>
  </si>
  <si>
    <t>Total</t>
  </si>
  <si>
    <t xml:space="preserve"> </t>
  </si>
  <si>
    <t>During this sprint, there were some investigation tickets related to new pages and features that the team had not encountered before. This is why the investigation took longer than expected.</t>
  </si>
  <si>
    <t>C1: Engineer took time for self-testing in stg environment.
M1: Clients visited and had a lot of mtgs and team events. The team and clients had decided in advance to consider this as a special sprint.</t>
  </si>
  <si>
    <t>Took time supporting new members.
There was a user story requirement that needed to wait for stakeholder confirmation.
The discussion during the review phase took time.</t>
  </si>
  <si>
    <t>QA Bug Proportion (Q1) #/Mh
Internal Bug Count
/ Total Actual Effort [MH]</t>
  </si>
  <si>
    <t>The new engineer took more time than expected because it was his first task, so it was still hard to estimate correctly, and he also needed time to get used to the project.</t>
  </si>
  <si>
    <t>- The reviewer from the client took 2 days off so the PR review process was delayed quite a lot.
- An engineer in the team took an unexpected day off and after coming back there are some issues that he need to catch up and resolve with the team so the ticket situation of him was also delayed</t>
  </si>
  <si>
    <t>SUM of UAT Bug Rate 
(Q2)%
( UAT Bug Count/ All Bug Count ) * 100</t>
  </si>
  <si>
    <t>There is a ticket that costed more time than the engineer expected, it's the task for testing the script to check the inconsistency data between DB and Hubspot created and tested by the engineer but the engineer is not familiar with the system so it took more time for him to prepare the data and the document to report about the test result.</t>
  </si>
  <si>
    <t>During this sprint, there are some tickets that costed the team more time to implement and fix comment so the team didn't have chance to handle some other tickets then the number of closed ticket does not meet the standard.</t>
  </si>
  <si>
    <t>SUM of Estimation Accuracy Rate 
(C1)%
( Total Actual Effort / Total Estimated Effort ) * 100</t>
  </si>
  <si>
    <t>There is an engineer in the team took one day off, besides that there was a ticket with high complexity which caused the engineer to spend more time for the implementation.</t>
  </si>
  <si>
    <t xml:space="preserve">SUM of Bug Handling Cost Rate 
(C2)%
( Total Bug Handling Effort / Total Actual Effort ) * 100 </t>
  </si>
  <si>
    <t>AVERAGE of QA Bug Proportion (Q1) #/Mh</t>
  </si>
  <si>
    <t>SUM of Issue Closed Ratio 
(M1)%
(Closed Issue Count / All Issue Count)*100</t>
  </si>
  <si>
    <t>In this sprint, 2 tasks have the actual point higher than the estimated point:
- The first one is a task for implementing the UI of the new feature, during the implementation, the engineer raised some concerns about the UI and suggested some changes to improve it, therefore a rework has been conducted to adapt the specification improvement.
- Another one is an engineer's task to support QA in executing some test cases. The task cost more time than estimated since the team raised some more abnormal cases to test, and also the data preparation phase took quite an amount of time.</t>
  </si>
  <si>
    <t>Grand Total</t>
  </si>
  <si>
    <t>AVERAGE of UAT Bug Rate (Q2) %</t>
  </si>
  <si>
    <t>AVERAGE of Estimation Accuracy Rate (C1) %</t>
  </si>
  <si>
    <t>AVERAGE of Bug Handling Cost Rate 
(C2)%</t>
  </si>
  <si>
    <t>AVERAGE of Issue Closed Ratio 
(M1)%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</si>
</sst>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yy"/>
    <numFmt numFmtId="165" formatCode="0.0"/>
    <numFmt numFmtId="166" formatCode="m/d/yyyy"/>
    <numFmt numFmtId="167" formatCode="mm/dd/yyyy"/>
  </numFmts>
  <fonts count="30">
    <font>
      <sz val="10.0"/>
      <color rgb="FF000000"/>
      <name val="Arial"/>
      <scheme val="minor"/>
    </font>
    <font>
      <b/>
      <sz val="24.0"/>
      <color theme="1"/>
      <name val="Times New Roman"/>
    </font>
    <font>
      <b/>
      <sz val="18.0"/>
      <color theme="1"/>
      <name val="Times New Roman"/>
    </font>
    <font/>
    <font>
      <sz val="12.0"/>
      <color theme="1"/>
      <name val="Times New Roman"/>
    </font>
    <font>
      <b/>
      <sz val="10.0"/>
      <color theme="1"/>
      <name val="Times New Roman"/>
    </font>
    <font>
      <b/>
      <sz val="12.0"/>
      <color theme="1"/>
      <name val="Times New Roman"/>
    </font>
    <font>
      <b/>
      <color theme="1"/>
      <name val="Times New Roman"/>
    </font>
    <font>
      <color theme="1"/>
      <name val="Arial"/>
    </font>
    <font>
      <b/>
      <sz val="12.0"/>
      <color rgb="FF000000"/>
      <name val="Times New Roman"/>
    </font>
    <font>
      <b/>
      <sz val="14.0"/>
      <color theme="1"/>
      <name val="Times New Roman"/>
    </font>
    <font>
      <b/>
      <sz val="10.0"/>
      <color theme="1"/>
      <name val="Arial"/>
    </font>
    <font>
      <b/>
      <i/>
      <sz val="12.0"/>
      <color rgb="FF000000"/>
      <name val="Times New Roman"/>
    </font>
    <font>
      <sz val="12.0"/>
      <color rgb="FF000000"/>
      <name val="Times New Roman"/>
    </font>
    <font>
      <strike/>
      <color theme="1"/>
      <name val="Arial"/>
    </font>
    <font>
      <u/>
      <sz val="12.0"/>
      <color rgb="FF1155CC"/>
      <name val="Times New Roman"/>
    </font>
    <font>
      <strike/>
      <sz val="12.0"/>
      <color rgb="FF000000"/>
      <name val="Times New Roman"/>
    </font>
    <font>
      <sz val="10.0"/>
      <color theme="1"/>
      <name val="Arial"/>
    </font>
    <font>
      <strike/>
      <sz val="12.0"/>
      <color theme="1"/>
      <name val="Times New Roman"/>
    </font>
    <font>
      <i/>
      <sz val="12.0"/>
      <color rgb="FF000000"/>
      <name val="Times New Roman"/>
    </font>
    <font>
      <sz val="12.0"/>
      <color theme="1"/>
      <name val="&quot;Times New Roman&quot;"/>
    </font>
    <font>
      <i/>
      <sz val="12.0"/>
      <color theme="1"/>
      <name val="Times New Roman"/>
    </font>
    <font>
      <sz val="10.0"/>
      <color rgb="FF000000"/>
      <name val="Arial"/>
    </font>
    <font>
      <color rgb="FF000000"/>
      <name val="Arial"/>
    </font>
    <font>
      <color rgb="FFFF0000"/>
      <name val="Arial"/>
    </font>
    <font>
      <b/>
      <sz val="12.0"/>
      <color rgb="FFFFFFFF"/>
      <name val="Times New Roman"/>
    </font>
    <font>
      <color theme="1"/>
      <name val="Arial"/>
      <scheme val="minor"/>
    </font>
    <font>
      <b/>
      <color theme="1"/>
      <name val="&quot;Times New Roman&quot;"/>
    </font>
    <font>
      <b/>
      <sz val="12.0"/>
      <color rgb="FF000000"/>
      <name val="&quot;Times New Roman&quot;"/>
    </font>
    <font>
      <b/>
      <sz val="10.0"/>
      <color rgb="FF000000"/>
      <name val="Arial"/>
    </font>
  </fonts>
  <fills count="9">
    <fill>
      <patternFill patternType="none"/>
    </fill>
    <fill>
      <patternFill patternType="lightGray"/>
    </fill>
    <fill>
      <patternFill patternType="solid">
        <fgColor rgb="FFFFFFFF"/>
        <bgColor rgb="FFFFFFFF"/>
      </patternFill>
    </fill>
    <fill>
      <patternFill patternType="solid">
        <fgColor rgb="FFD9D2E9"/>
        <bgColor rgb="FFD9D2E9"/>
      </patternFill>
    </fill>
    <fill>
      <patternFill patternType="solid">
        <fgColor rgb="FFCFE2F3"/>
        <bgColor rgb="FFCFE2F3"/>
      </patternFill>
    </fill>
    <fill>
      <patternFill patternType="solid">
        <fgColor rgb="FFFFFF00"/>
        <bgColor rgb="FFFFFF00"/>
      </patternFill>
    </fill>
    <fill>
      <patternFill patternType="solid">
        <fgColor rgb="FFE06666"/>
        <bgColor rgb="FFE06666"/>
      </patternFill>
    </fill>
    <fill>
      <patternFill patternType="solid">
        <fgColor theme="7"/>
        <bgColor theme="7"/>
      </patternFill>
    </fill>
    <fill>
      <patternFill patternType="solid">
        <fgColor theme="6"/>
        <bgColor theme="6"/>
      </patternFill>
    </fill>
  </fills>
  <borders count="29">
    <border/>
    <border>
      <left style="thin">
        <color rgb="FF000000"/>
      </left>
      <top style="thin">
        <color rgb="FF000000"/>
      </top>
    </border>
    <border>
      <right style="thin">
        <color rgb="FF000000"/>
      </right>
    </border>
    <border>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right style="thin">
        <color rgb="FFFFFFFF"/>
      </right>
      <bottom style="thin">
        <color rgb="FFFFFFFF"/>
      </bottom>
    </border>
    <border>
      <right style="thin">
        <color rgb="FF000000"/>
      </right>
      <bottom style="thin">
        <color rgb="FF000000"/>
      </bottom>
    </border>
    <border>
      <left style="thin">
        <color rgb="FFFFFFFF"/>
      </left>
      <right style="thin">
        <color rgb="FFFFFFFF"/>
      </righ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FFFFFF"/>
      </right>
    </border>
    <border>
      <left style="thin">
        <color rgb="FFFFFFFF"/>
      </left>
      <right style="thin">
        <color rgb="FFFFFFFF"/>
      </right>
    </border>
    <border>
      <left style="thin">
        <color rgb="FFFFFFFF"/>
      </left>
      <top style="thin">
        <color rgb="FFFFFFFF"/>
      </top>
      <bottom style="thin">
        <color rgb="FFFFFFFF"/>
      </bottom>
    </border>
    <border>
      <bottom style="thin">
        <color rgb="FF000000"/>
      </bottom>
    </border>
    <border>
      <left style="thin">
        <color rgb="FFFFFFFF"/>
      </left>
      <bottom style="thin">
        <color rgb="FFFFFFFF"/>
      </bottom>
    </border>
    <border>
      <top style="thin">
        <color rgb="FFFFFFFF"/>
      </top>
      <bottom style="thin">
        <color rgb="FFFFFFFF"/>
      </bottom>
    </border>
    <border>
      <left style="thin">
        <color rgb="FFFFFFFF"/>
      </left>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2" fontId="2" numFmtId="0" xfId="0" applyAlignment="1" applyBorder="1" applyFill="1" applyFont="1">
      <alignment horizontal="center" shrinkToFit="0" wrapText="1"/>
    </xf>
    <xf borderId="4" fillId="0" fontId="4" numFmtId="0" xfId="0" applyAlignment="1" applyBorder="1" applyFont="1">
      <alignment readingOrder="0"/>
    </xf>
    <xf borderId="3" fillId="0" fontId="2" numFmtId="0" xfId="0" applyAlignment="1" applyBorder="1" applyFont="1">
      <alignment horizontal="center" readingOrder="0" shrinkToFit="0" vertical="center" wrapText="1"/>
    </xf>
    <xf borderId="1" fillId="0" fontId="1" numFmtId="0" xfId="0" applyAlignment="1" applyBorder="1" applyFont="1">
      <alignment horizontal="center" vertical="center"/>
    </xf>
    <xf borderId="5" fillId="0" fontId="3" numFmtId="0" xfId="0" applyBorder="1" applyFont="1"/>
    <xf borderId="6" fillId="0" fontId="3" numFmtId="0" xfId="0" applyBorder="1" applyFont="1"/>
    <xf borderId="7" fillId="0" fontId="4" numFmtId="0" xfId="0" applyAlignment="1" applyBorder="1" applyFont="1">
      <alignment readingOrder="0"/>
    </xf>
    <xf borderId="7" fillId="0" fontId="5" numFmtId="0" xfId="0" applyAlignment="1" applyBorder="1" applyFont="1">
      <alignment vertical="center"/>
    </xf>
    <xf borderId="8" fillId="0" fontId="3" numFmtId="0" xfId="0" applyBorder="1" applyFont="1"/>
    <xf borderId="0" fillId="0" fontId="4" numFmtId="0" xfId="0" applyAlignment="1" applyFont="1">
      <alignment readingOrder="0"/>
    </xf>
    <xf borderId="9" fillId="0" fontId="3" numFmtId="0" xfId="0" applyBorder="1" applyFont="1"/>
    <xf borderId="4" fillId="0" fontId="5" numFmtId="0" xfId="0" applyAlignment="1" applyBorder="1" applyFont="1">
      <alignment vertical="center"/>
    </xf>
    <xf borderId="10" fillId="0" fontId="4" numFmtId="0" xfId="0" applyAlignment="1" applyBorder="1" applyFont="1">
      <alignment readingOrder="0"/>
    </xf>
    <xf borderId="11" fillId="2" fontId="2" numFmtId="0" xfId="0" applyAlignment="1" applyBorder="1" applyFill="1" applyFont="1">
      <alignment horizontal="center" shrinkToFit="0" wrapText="1"/>
    </xf>
    <xf borderId="12" fillId="0" fontId="3" numFmtId="0" xfId="0" applyBorder="1" applyFont="1"/>
    <xf borderId="13" fillId="0" fontId="2" numFmtId="0" xfId="0" applyAlignment="1" applyBorder="1" applyFont="1">
      <alignment horizontal="center" shrinkToFit="0" wrapText="1"/>
    </xf>
    <xf borderId="14" fillId="2" fontId="6" numFmtId="0" xfId="0" applyAlignment="1" applyBorder="1" applyFill="1" applyFont="1">
      <alignment horizontal="center" shrinkToFit="0" wrapText="1"/>
    </xf>
    <xf borderId="15" fillId="0" fontId="6" numFmtId="0" xfId="0" applyAlignment="1" applyBorder="1" applyFont="1">
      <alignment horizontal="left" shrinkToFit="0" wrapText="1"/>
    </xf>
    <xf borderId="7" fillId="0" fontId="7" numFmtId="0" xfId="0" applyAlignment="1" applyBorder="1" applyFont="1">
      <alignment horizontal="right" shrinkToFit="0" wrapText="1"/>
    </xf>
    <xf borderId="15" fillId="0" fontId="6" numFmtId="0" xfId="0" applyAlignment="1" applyBorder="1" applyFont="1">
      <alignment horizontal="center" shrinkToFit="0" wrapText="1"/>
    </xf>
    <xf borderId="16" fillId="0" fontId="8" numFmtId="0" xfId="0" applyBorder="1" applyFont="1"/>
    <xf borderId="17" fillId="0" fontId="8" numFmtId="0" xfId="0" applyBorder="1" applyFont="1"/>
    <xf borderId="10" fillId="0" fontId="3" numFmtId="0" xfId="0" applyBorder="1" applyFont="1"/>
    <xf borderId="18" fillId="0" fontId="4" numFmtId="0" xfId="0" applyAlignment="1" applyBorder="1" applyFont="1">
      <alignment horizontal="left" shrinkToFit="0" wrapText="1"/>
    </xf>
    <xf borderId="13" fillId="0" fontId="8" numFmtId="0" xfId="0" applyBorder="1" applyFont="1"/>
    <xf borderId="19" fillId="0" fontId="3" numFmtId="0" xfId="0" applyBorder="1" applyFont="1"/>
    <xf borderId="9" fillId="0" fontId="5" numFmtId="0" xfId="0" applyAlignment="1" applyBorder="1" applyFont="1">
      <alignment shrinkToFit="0" vertical="center" wrapText="1"/>
    </xf>
    <xf borderId="20" fillId="0" fontId="8" numFmtId="0" xfId="0" applyBorder="1" applyFont="1"/>
    <xf borderId="8" fillId="0" fontId="5" numFmtId="0" xfId="0" applyAlignment="1" applyBorder="1" applyFont="1">
      <alignment shrinkToFit="0" vertical="center" wrapText="1"/>
    </xf>
    <xf borderId="21" fillId="0" fontId="3" numFmtId="0" xfId="0" applyBorder="1" applyFont="1"/>
    <xf borderId="4" fillId="3" fontId="9" numFmtId="0" xfId="0" applyBorder="1" applyFill="1" applyFont="1"/>
    <xf borderId="7" fillId="0" fontId="7" numFmtId="0" xfId="0" applyAlignment="1" applyBorder="1" applyFont="1">
      <alignment horizontal="left" shrinkToFit="0" wrapText="1"/>
    </xf>
    <xf borderId="4" fillId="0" fontId="4" numFmtId="0" xfId="0" applyBorder="1" applyFont="1"/>
    <xf borderId="0" fillId="0" fontId="5" numFmtId="0" xfId="0" applyAlignment="1" applyFont="1">
      <alignment shrinkToFit="0" vertical="center" wrapText="1"/>
    </xf>
    <xf borderId="14" fillId="0" fontId="4" numFmtId="0" xfId="0" applyBorder="1" applyFont="1"/>
    <xf borderId="15" fillId="0" fontId="4" numFmtId="0" xfId="0" applyBorder="1" applyFont="1"/>
    <xf borderId="0" fillId="0" fontId="7" numFmtId="0" xfId="0" applyAlignment="1" applyFont="1">
      <alignment horizontal="left" shrinkToFit="0" wrapText="1"/>
    </xf>
    <xf borderId="18" fillId="0" fontId="6" numFmtId="0" xfId="0" applyAlignment="1" applyBorder="1" applyFont="1">
      <alignment horizontal="left" shrinkToFit="0" wrapText="1"/>
    </xf>
    <xf borderId="18" fillId="0" fontId="4" numFmtId="0" xfId="0" applyBorder="1" applyFont="1"/>
    <xf borderId="14" fillId="0" fontId="3" numFmtId="0" xfId="0" applyBorder="1" applyFont="1"/>
    <xf borderId="10" fillId="0" fontId="5" numFmtId="0" xfId="0" applyAlignment="1" applyBorder="1" applyFont="1">
      <alignment horizontal="left" shrinkToFit="0" vertical="center" wrapText="1"/>
    </xf>
    <xf borderId="4" fillId="3" fontId="6" numFmtId="0" xfId="0" applyAlignment="1" applyBorder="1" applyFill="1" applyFont="1">
      <alignment horizontal="center" shrinkToFit="0" vertical="center" wrapText="1"/>
    </xf>
    <xf borderId="4" fillId="3" fontId="9" numFmtId="0" xfId="0" applyAlignment="1" applyBorder="1" applyFill="1" applyFont="1">
      <alignment readingOrder="0"/>
    </xf>
    <xf borderId="14" fillId="2" fontId="9" numFmtId="0" xfId="0" applyAlignment="1" applyBorder="1" applyFill="1" applyFont="1">
      <alignment horizontal="center" shrinkToFit="0" wrapText="1"/>
    </xf>
    <xf borderId="4" fillId="3" fontId="9" numFmtId="0" xfId="0" applyAlignment="1" applyBorder="1" applyFill="1" applyFont="1">
      <alignment horizontal="center" readingOrder="0" shrinkToFit="0" vertical="center" wrapText="1"/>
    </xf>
    <xf borderId="22" fillId="0" fontId="10" numFmtId="0" xfId="0" applyAlignment="1" applyBorder="1" applyFont="1">
      <alignment horizontal="center" shrinkToFit="0" vertical="center" wrapText="1"/>
    </xf>
    <xf borderId="16" fillId="0" fontId="3" numFmtId="0" xfId="0" applyBorder="1" applyFont="1"/>
    <xf borderId="4" fillId="3" fontId="9" numFmtId="0" xfId="0" applyAlignment="1" applyBorder="1" applyFill="1" applyFont="1">
      <alignment horizontal="center" shrinkToFit="0" vertical="center" wrapText="1"/>
    </xf>
    <xf borderId="22" fillId="0" fontId="6" numFmtId="0" xfId="0" applyAlignment="1" applyBorder="1" applyFont="1">
      <alignment horizontal="center" shrinkToFit="0" vertical="center" wrapText="1"/>
    </xf>
    <xf borderId="4" fillId="3" fontId="11" numFmtId="0" xfId="0" applyAlignment="1" applyBorder="1" applyFill="1" applyFont="1">
      <alignment horizontal="center" shrinkToFit="0" vertical="center" wrapText="1"/>
    </xf>
    <xf borderId="4" fillId="3" fontId="12" numFmtId="0" xfId="0" applyAlignment="1" applyBorder="1" applyFill="1" applyFont="1">
      <alignment horizontal="center" shrinkToFit="0" vertical="center" wrapText="1"/>
    </xf>
    <xf borderId="4" fillId="0" fontId="4" numFmtId="0" xfId="0" applyAlignment="1" applyBorder="1" applyFont="1">
      <alignment horizontal="center"/>
    </xf>
    <xf borderId="7" fillId="3" fontId="11" numFmtId="0" xfId="0" applyAlignment="1" applyBorder="1" applyFill="1" applyFont="1">
      <alignment horizontal="center" shrinkToFit="0" vertical="center" wrapText="1"/>
    </xf>
    <xf borderId="4" fillId="2" fontId="13" numFmtId="0" xfId="0" applyAlignment="1" applyBorder="1" applyFill="1" applyFont="1">
      <alignment horizontal="left"/>
    </xf>
    <xf borderId="4" fillId="3" fontId="9" numFmtId="3" xfId="0" applyAlignment="1" applyBorder="1" applyFill="1" applyFont="1" applyNumberFormat="1">
      <alignment horizontal="center" shrinkToFit="0" vertical="center" wrapText="1"/>
    </xf>
    <xf borderId="4" fillId="0" fontId="14" numFmtId="0" xfId="0" applyBorder="1" applyFont="1"/>
    <xf borderId="18" fillId="0" fontId="15" numFmtId="0" xfId="0" applyAlignment="1" applyBorder="1" applyFont="1">
      <alignment horizontal="left" shrinkToFit="0" wrapText="1"/>
    </xf>
    <xf borderId="4" fillId="0" fontId="16" numFmtId="0" xfId="0" applyAlignment="1" applyBorder="1" applyFont="1">
      <alignment horizontal="center" shrinkToFit="0" vertical="center" wrapText="1"/>
    </xf>
    <xf borderId="4" fillId="0" fontId="13" numFmtId="0" xfId="0" applyAlignment="1" applyBorder="1" applyFont="1">
      <alignment horizontal="right" readingOrder="0" shrinkToFit="0" vertical="center" wrapText="1"/>
    </xf>
    <xf borderId="4" fillId="0" fontId="17" numFmtId="0" xfId="0" applyAlignment="1" applyBorder="1" applyFont="1">
      <alignment horizontal="center" shrinkToFit="0" vertical="center" wrapText="1"/>
    </xf>
    <xf borderId="18" fillId="0" fontId="13" numFmtId="0" xfId="0" applyAlignment="1" applyBorder="1" applyFont="1">
      <alignment horizontal="left" shrinkToFit="0" wrapText="1"/>
    </xf>
    <xf borderId="4" fillId="2" fontId="16" numFmtId="0" xfId="0" applyAlignment="1" applyBorder="1" applyFill="1" applyFont="1">
      <alignment horizontal="right" shrinkToFit="0" vertical="center" wrapText="1"/>
    </xf>
    <xf borderId="7" fillId="0" fontId="17" numFmtId="0" xfId="0" applyAlignment="1" applyBorder="1" applyFont="1">
      <alignment horizontal="left" shrinkToFit="0" vertical="center" wrapText="1"/>
    </xf>
    <xf borderId="14" fillId="2" fontId="6" numFmtId="0" xfId="0" applyAlignment="1" applyBorder="1" applyFill="1" applyFont="1">
      <alignment horizontal="center" shrinkToFit="0" vertical="center" wrapText="1"/>
    </xf>
    <xf borderId="4" fillId="3" fontId="6" numFmtId="0" xfId="0" applyAlignment="1" applyBorder="1" applyFill="1" applyFont="1">
      <alignment shrinkToFit="0" vertical="bottom" wrapText="1"/>
    </xf>
    <xf borderId="4" fillId="2" fontId="16" numFmtId="166" xfId="0" applyAlignment="1" applyBorder="1" applyFill="1" applyFont="1" applyNumberFormat="1">
      <alignment horizontal="right" shrinkToFit="0" vertical="center" wrapText="1"/>
    </xf>
    <xf borderId="18" fillId="2" fontId="6" numFmtId="0" xfId="0" applyAlignment="1" applyBorder="1" applyFill="1" applyFont="1">
      <alignment horizontal="left" shrinkToFit="0" vertical="center" wrapText="1"/>
    </xf>
    <xf borderId="4" fillId="0" fontId="18" numFmtId="0" xfId="0" applyAlignment="1" applyBorder="1" applyFont="1">
      <alignment horizontal="right" shrinkToFit="0" vertical="center" wrapText="1"/>
    </xf>
    <xf borderId="4" fillId="0" fontId="4" numFmtId="0" xfId="0" applyAlignment="1" applyBorder="1" applyFont="1">
      <alignment readingOrder="0" vertical="bottom"/>
    </xf>
    <xf borderId="4" fillId="0" fontId="18" numFmtId="3" xfId="0" applyAlignment="1" applyBorder="1" applyFont="1" applyNumberFormat="1">
      <alignment horizontal="right" shrinkToFit="0" vertical="center" wrapText="1"/>
    </xf>
    <xf borderId="23" fillId="2" fontId="6" numFmtId="0" xfId="0" applyAlignment="1" applyBorder="1" applyFill="1" applyFont="1">
      <alignment horizontal="center" shrinkToFit="0" vertical="center" wrapText="1"/>
    </xf>
    <xf borderId="0" fillId="0" fontId="17" numFmtId="0" xfId="0" applyFont="1"/>
    <xf borderId="4" fillId="3" fontId="9" numFmtId="0" xfId="0" applyAlignment="1" applyBorder="1" applyFill="1" applyFont="1">
      <alignment horizontal="left"/>
    </xf>
    <xf borderId="24" fillId="2" fontId="6" numFmtId="0" xfId="0" applyAlignment="1" applyBorder="1" applyFill="1" applyFont="1">
      <alignment horizontal="center" shrinkToFit="0" vertical="center" wrapText="1"/>
    </xf>
    <xf borderId="4" fillId="0" fontId="8" numFmtId="0" xfId="0" applyBorder="1" applyFont="1"/>
    <xf borderId="14" fillId="0" fontId="8" numFmtId="0" xfId="0" applyBorder="1" applyFont="1"/>
    <xf borderId="1" fillId="0" fontId="17" numFmtId="0" xfId="0" applyAlignment="1" applyBorder="1" applyFont="1">
      <alignment horizontal="left" shrinkToFit="0" vertical="center" wrapText="1"/>
    </xf>
    <xf borderId="15" fillId="0" fontId="8" numFmtId="0" xfId="0" applyBorder="1" applyFont="1"/>
    <xf borderId="4" fillId="2" fontId="4" numFmtId="0" xfId="0" applyAlignment="1" applyBorder="1" applyFill="1" applyFont="1">
      <alignment horizontal="center" shrinkToFit="0" vertical="center" wrapText="1"/>
    </xf>
    <xf borderId="18" fillId="0" fontId="8" numFmtId="0" xfId="0" applyBorder="1" applyFont="1"/>
    <xf borderId="0" fillId="0" fontId="13" numFmtId="0" xfId="0" applyAlignment="1" applyFont="1">
      <alignment horizontal="left" vertical="top"/>
    </xf>
    <xf borderId="11" fillId="0" fontId="8" numFmtId="0" xfId="0" applyBorder="1" applyFont="1"/>
    <xf borderId="4" fillId="2" fontId="19" numFmtId="0" xfId="0" applyAlignment="1" applyBorder="1" applyFill="1" applyFont="1">
      <alignment horizontal="left" shrinkToFit="0" vertical="top" wrapText="1"/>
    </xf>
    <xf borderId="4" fillId="2" fontId="4" numFmtId="0" xfId="0" applyAlignment="1" applyBorder="1" applyFill="1" applyFont="1">
      <alignment horizontal="center" shrinkToFit="0" wrapText="1"/>
    </xf>
    <xf borderId="21" fillId="0" fontId="8" numFmtId="0" xfId="0" applyBorder="1" applyFont="1"/>
    <xf borderId="4" fillId="0" fontId="4" numFmtId="0" xfId="0" applyAlignment="1" applyBorder="1" applyFont="1">
      <alignment shrinkToFit="0" vertical="top" wrapText="1"/>
    </xf>
    <xf borderId="4" fillId="2" fontId="13" numFmtId="0" xfId="0" applyAlignment="1" applyBorder="1" applyFill="1" applyFont="1">
      <alignment horizontal="center" shrinkToFit="0" vertical="center" wrapText="1"/>
    </xf>
    <xf borderId="4" fillId="0" fontId="4" numFmtId="0" xfId="0" applyAlignment="1" applyBorder="1" applyFont="1">
      <alignment shrinkToFit="0" vertical="center" wrapText="1"/>
    </xf>
    <xf borderId="23" fillId="0" fontId="8" numFmtId="0" xfId="0" applyBorder="1" applyFont="1"/>
    <xf borderId="4" fillId="2" fontId="20" numFmtId="164" xfId="0" applyAlignment="1" applyBorder="1" applyFill="1" applyFont="1" applyNumberFormat="1">
      <alignment horizontal="right" shrinkToFit="0" wrapText="1"/>
    </xf>
    <xf borderId="4" fillId="2" fontId="13" numFmtId="0" xfId="0" applyAlignment="1" applyBorder="1" applyFill="1" applyFont="1">
      <alignment horizontal="left" vertical="top"/>
    </xf>
    <xf borderId="24" fillId="0" fontId="8" numFmtId="0" xfId="0" applyBorder="1" applyFont="1"/>
    <xf borderId="4" fillId="0" fontId="21" numFmtId="0" xfId="0" applyAlignment="1" applyBorder="1" applyFont="1">
      <alignment shrinkToFit="0" vertical="top" wrapText="1"/>
    </xf>
    <xf borderId="7" fillId="0" fontId="17" numFmtId="166" xfId="0" applyAlignment="1" applyBorder="1" applyFont="1" applyNumberFormat="1">
      <alignment horizontal="left" shrinkToFit="0" vertical="center" wrapText="1"/>
    </xf>
    <xf borderId="0" fillId="2" fontId="13" numFmtId="0" xfId="0" applyAlignment="1" applyFill="1" applyFont="1">
      <alignment horizontal="left" shrinkToFit="0" vertical="top" wrapText="1"/>
    </xf>
    <xf borderId="25" fillId="0" fontId="8" numFmtId="0" xfId="0" applyBorder="1" applyFont="1"/>
    <xf borderId="4" fillId="0" fontId="13" numFmtId="0" xfId="0" applyAlignment="1" applyBorder="1" applyFont="1">
      <alignment shrinkToFit="0" vertical="top" wrapText="1"/>
    </xf>
    <xf borderId="9" fillId="0" fontId="22" numFmtId="0" xfId="0" applyAlignment="1" applyBorder="1" applyFont="1">
      <alignment horizontal="left" shrinkToFit="0" vertical="center" wrapText="1"/>
    </xf>
    <xf borderId="4" fillId="2" fontId="4" numFmtId="0" xfId="0" applyAlignment="1" applyBorder="1" applyFill="1" applyFont="1">
      <alignment horizontal="center" readingOrder="0" shrinkToFit="0" vertical="center" wrapText="1"/>
    </xf>
    <xf borderId="4" fillId="2" fontId="13" numFmtId="0" xfId="0" applyAlignment="1" applyBorder="1" applyFill="1" applyFont="1">
      <alignment horizontal="left" shrinkToFit="0" vertical="top" wrapText="1"/>
    </xf>
    <xf borderId="7" fillId="0" fontId="22" numFmtId="0" xfId="0" applyAlignment="1" applyBorder="1" applyFont="1">
      <alignment horizontal="left" shrinkToFit="0" vertical="center" wrapText="1"/>
    </xf>
    <xf borderId="4" fillId="0" fontId="13" numFmtId="0" xfId="0" applyAlignment="1" applyBorder="1" applyFont="1">
      <alignment shrinkToFit="0" vertical="center" wrapText="1"/>
    </xf>
    <xf borderId="0" fillId="2" fontId="4" numFmtId="0" xfId="0" applyAlignment="1" applyFill="1" applyFont="1">
      <alignment horizontal="center" shrinkToFit="0" vertical="center" wrapText="1"/>
    </xf>
    <xf borderId="0" fillId="0" fontId="4" numFmtId="0" xfId="0" applyAlignment="1" applyFont="1">
      <alignment shrinkToFit="0" vertical="center" wrapText="1"/>
    </xf>
    <xf borderId="7" fillId="0" fontId="17" numFmtId="167" xfId="0" applyAlignment="1" applyBorder="1" applyFont="1" applyNumberFormat="1">
      <alignment horizontal="left" shrinkToFit="0" vertical="center" wrapText="1"/>
    </xf>
    <xf borderId="0" fillId="2" fontId="19" numFmtId="0" xfId="0" applyAlignment="1" applyFill="1" applyFont="1">
      <alignment horizontal="left" shrinkToFit="0" vertical="center" wrapText="1"/>
    </xf>
    <xf borderId="4" fillId="0" fontId="22" numFmtId="0" xfId="0" applyAlignment="1" applyBorder="1" applyFont="1">
      <alignment horizontal="center" shrinkToFit="0" vertical="center" wrapText="1"/>
    </xf>
    <xf borderId="14" fillId="2" fontId="4" numFmtId="0" xfId="0" applyAlignment="1" applyBorder="1" applyFill="1" applyFont="1">
      <alignment horizontal="center" shrinkToFit="0" vertical="center" wrapText="1"/>
    </xf>
    <xf borderId="7" fillId="0" fontId="17" numFmtId="0" xfId="0" applyAlignment="1" applyBorder="1" applyFont="1">
      <alignment shrinkToFit="0" wrapText="1"/>
    </xf>
    <xf borderId="18" fillId="2" fontId="4" numFmtId="0" xfId="0" applyAlignment="1" applyBorder="1" applyFill="1" applyFont="1">
      <alignment readingOrder="0" shrinkToFit="0" wrapText="1"/>
    </xf>
    <xf borderId="7" fillId="0" fontId="17" numFmtId="167" xfId="0" applyAlignment="1" applyBorder="1" applyFont="1" applyNumberFormat="1">
      <alignment horizontal="left" shrinkToFit="0" wrapText="1"/>
    </xf>
    <xf borderId="18" fillId="2" fontId="4" numFmtId="0" xfId="0" applyAlignment="1" applyBorder="1" applyFill="1" applyFont="1">
      <alignment readingOrder="0" shrinkToFit="0" wrapText="0"/>
    </xf>
    <xf borderId="4" fillId="2" fontId="20" numFmtId="0" xfId="0" applyAlignment="1" applyBorder="1" applyFill="1" applyFont="1">
      <alignment horizontal="right" readingOrder="0"/>
    </xf>
    <xf borderId="7" fillId="0" fontId="17" numFmtId="0" xfId="0" applyAlignment="1" applyBorder="1" applyFont="1">
      <alignment readingOrder="0" shrinkToFit="0" wrapText="1"/>
    </xf>
    <xf borderId="4" fillId="2" fontId="20" numFmtId="0" xfId="0" applyAlignment="1" applyBorder="1" applyFill="1" applyFont="1">
      <alignment horizontal="right"/>
    </xf>
    <xf borderId="4" fillId="2" fontId="20" numFmtId="0" xfId="0" applyAlignment="1" applyBorder="1" applyFill="1" applyFont="1">
      <alignment horizontal="right" readingOrder="0" shrinkToFit="0" wrapText="1"/>
    </xf>
    <xf borderId="4" fillId="2" fontId="20" numFmtId="0" xfId="0" applyAlignment="1" applyBorder="1" applyFill="1" applyFont="1">
      <alignment horizontal="right" shrinkToFit="0" wrapText="1"/>
    </xf>
    <xf borderId="4" fillId="0" fontId="22" numFmtId="0" xfId="0" applyAlignment="1" applyBorder="1" applyFont="1">
      <alignment horizontal="center" readingOrder="0" shrinkToFit="0" vertical="center" wrapText="1"/>
    </xf>
    <xf borderId="18" fillId="0" fontId="4" numFmtId="0" xfId="0" applyAlignment="1" applyBorder="1" applyFont="1">
      <alignment shrinkToFit="0" wrapText="1"/>
    </xf>
    <xf borderId="4" fillId="2" fontId="4" numFmtId="0" xfId="0" applyAlignment="1" applyBorder="1" applyFill="1" applyFont="1">
      <alignment horizontal="right" shrinkToFit="0" vertical="center" wrapText="1"/>
    </xf>
    <xf borderId="4" fillId="3" fontId="9" numFmtId="0" xfId="0" applyAlignment="1" applyBorder="1" applyFill="1" applyFont="1">
      <alignment horizontal="center" vertical="bottom"/>
    </xf>
    <xf borderId="4" fillId="0" fontId="13" numFmtId="0" xfId="0" applyAlignment="1" applyBorder="1" applyFont="1">
      <alignment horizontal="center"/>
    </xf>
    <xf borderId="4" fillId="2" fontId="4" numFmtId="0" xfId="0" applyAlignment="1" applyBorder="1" applyFill="1" applyFont="1">
      <alignment horizontal="right" readingOrder="0" shrinkToFit="0" vertical="center" wrapText="1"/>
    </xf>
    <xf borderId="4" fillId="0" fontId="13" numFmtId="0" xfId="0" applyBorder="1" applyFont="1"/>
    <xf borderId="4" fillId="2" fontId="6" numFmtId="3" xfId="0" applyAlignment="1" applyBorder="1" applyFill="1" applyFont="1" applyNumberFormat="1">
      <alignment horizontal="right" shrinkToFit="0" vertical="center" wrapText="1"/>
    </xf>
    <xf borderId="4" fillId="2" fontId="4" numFmtId="0" xfId="0" applyAlignment="1" applyBorder="1" applyFill="1" applyFont="1">
      <alignment horizontal="center" readingOrder="0" shrinkToFit="0" wrapText="1"/>
    </xf>
    <xf borderId="0" fillId="0" fontId="13" numFmtId="0" xfId="0" applyAlignment="1" applyFont="1">
      <alignment horizontal="center" vertical="bottom"/>
    </xf>
    <xf borderId="4" fillId="0" fontId="13" numFmtId="0" xfId="0" applyAlignment="1" applyBorder="1" applyFont="1">
      <alignment horizontal="center" vertical="bottom"/>
    </xf>
    <xf borderId="7" fillId="0" fontId="23" numFmtId="49" xfId="0" applyAlignment="1" applyBorder="1" applyFont="1" applyNumberFormat="1">
      <alignment readingOrder="0" shrinkToFit="0" vertical="bottom" wrapText="1"/>
    </xf>
    <xf borderId="11" fillId="2" fontId="4" numFmtId="0" xfId="0" applyBorder="1" applyFill="1" applyFont="1"/>
    <xf borderId="13" fillId="0" fontId="4" numFmtId="0" xfId="0" applyBorder="1" applyFont="1"/>
    <xf borderId="7" fillId="0" fontId="24" numFmtId="49" xfId="0" applyAlignment="1" applyBorder="1" applyFont="1" applyNumberFormat="1">
      <alignment horizontal="left" shrinkToFit="0" vertical="bottom" wrapText="1"/>
    </xf>
    <xf borderId="4" fillId="2" fontId="4" numFmtId="164" xfId="0" applyAlignment="1" applyBorder="1" applyFill="1" applyFont="1" applyNumberFormat="1">
      <alignment horizontal="right" shrinkToFit="0" vertical="center" wrapText="1"/>
    </xf>
    <xf borderId="14" fillId="2" fontId="4" numFmtId="0" xfId="0" applyBorder="1" applyFill="1" applyFont="1"/>
    <xf quotePrefix="1" borderId="0" fillId="0" fontId="22" numFmtId="0" xfId="0" applyAlignment="1" applyFont="1">
      <alignment horizontal="center" readingOrder="0" shrinkToFit="0" vertical="center" wrapText="1"/>
    </xf>
    <xf borderId="0" fillId="0" fontId="22" numFmtId="0" xfId="0" applyAlignment="1" applyFont="1">
      <alignment horizontal="left" readingOrder="0" shrinkToFit="0" vertical="center" wrapText="1"/>
    </xf>
    <xf borderId="0" fillId="0" fontId="23" numFmtId="0" xfId="0" applyAlignment="1" applyFont="1">
      <alignment readingOrder="0" shrinkToFit="0" vertical="bottom" wrapText="1"/>
    </xf>
    <xf borderId="0" fillId="0" fontId="24" numFmtId="0" xfId="0" applyAlignment="1" applyFont="1">
      <alignment horizontal="left" readingOrder="0" shrinkToFit="0" vertical="bottom" wrapText="1"/>
    </xf>
    <xf borderId="23" fillId="2" fontId="4" numFmtId="0" xfId="0" applyBorder="1" applyFill="1" applyFont="1"/>
    <xf borderId="24" fillId="0" fontId="4" numFmtId="0" xfId="0" applyBorder="1" applyFont="1"/>
    <xf borderId="4" fillId="2" fontId="8" numFmtId="0" xfId="0" applyAlignment="1" applyBorder="1" applyFill="1" applyFont="1">
      <alignment readingOrder="0"/>
    </xf>
    <xf borderId="4" fillId="2" fontId="4" numFmtId="3" xfId="0" applyAlignment="1" applyBorder="1" applyFill="1" applyFont="1" applyNumberFormat="1">
      <alignment horizontal="right" shrinkToFit="0" vertical="center" wrapText="1"/>
    </xf>
    <xf borderId="4" fillId="2" fontId="23" numFmtId="0" xfId="0" applyAlignment="1" applyBorder="1" applyFill="1" applyFont="1">
      <alignment readingOrder="0"/>
    </xf>
    <xf borderId="4" fillId="2" fontId="13" numFmtId="0" xfId="0" applyAlignment="1" applyBorder="1" applyFill="1" applyFont="1">
      <alignment horizontal="right" readingOrder="0" shrinkToFit="0" vertical="center" wrapText="1"/>
    </xf>
    <xf borderId="4" fillId="2" fontId="25" numFmtId="0" xfId="0" applyAlignment="1" applyBorder="1" applyFill="1" applyFont="1">
      <alignment horizontal="right" shrinkToFit="0" vertical="center" wrapText="1"/>
    </xf>
    <xf borderId="4" fillId="2" fontId="25" numFmtId="3" xfId="0" applyAlignment="1" applyBorder="1" applyFill="1" applyFont="1" applyNumberFormat="1">
      <alignment horizontal="right" shrinkToFit="0" vertical="center" wrapText="1"/>
    </xf>
    <xf borderId="4" fillId="0" fontId="4" numFmtId="0" xfId="0" applyAlignment="1" applyBorder="1" applyFont="1">
      <alignment horizontal="center" shrinkToFit="0" wrapText="1"/>
    </xf>
    <xf borderId="4" fillId="0" fontId="13" numFmtId="0" xfId="0" applyAlignment="1" applyBorder="1" applyFont="1">
      <alignment horizontal="center" shrinkToFit="0" vertical="center" wrapText="1"/>
    </xf>
    <xf borderId="4" fillId="0" fontId="4" numFmtId="164" xfId="0" applyAlignment="1" applyBorder="1" applyFont="1" applyNumberFormat="1">
      <alignment horizontal="right" shrinkToFit="0" vertical="center" wrapText="1"/>
    </xf>
    <xf borderId="4" fillId="0" fontId="23" numFmtId="0" xfId="0" applyAlignment="1" applyBorder="1" applyFont="1">
      <alignment readingOrder="0"/>
    </xf>
    <xf borderId="4" fillId="0" fontId="4" numFmtId="0" xfId="0" applyAlignment="1" applyBorder="1" applyFont="1">
      <alignment horizontal="right" shrinkToFit="0" vertical="center" wrapText="1"/>
    </xf>
    <xf borderId="4" fillId="0" fontId="4" numFmtId="3" xfId="0" applyAlignment="1" applyBorder="1" applyFont="1" applyNumberFormat="1">
      <alignment horizontal="right" shrinkToFit="0" vertical="center" wrapText="1"/>
    </xf>
    <xf borderId="4" fillId="0" fontId="4" numFmtId="164" xfId="0" applyAlignment="1" applyBorder="1" applyFont="1" applyNumberFormat="1">
      <alignment horizontal="right" readingOrder="0" shrinkToFit="0" vertical="center" wrapText="1"/>
    </xf>
    <xf borderId="4" fillId="0" fontId="8" numFmtId="0" xfId="0" applyAlignment="1" applyBorder="1" applyFont="1">
      <alignment horizontal="center" vertical="bottom"/>
    </xf>
    <xf borderId="4" fillId="0" fontId="26" numFmtId="0" xfId="0" applyAlignment="1" applyBorder="1" applyFont="1">
      <alignment readingOrder="0"/>
    </xf>
    <xf borderId="4" fillId="0" fontId="8" numFmtId="0" xfId="0" applyAlignment="1" applyBorder="1" applyFont="1">
      <alignment readingOrder="0"/>
    </xf>
    <xf borderId="4" fillId="0" fontId="13" numFmtId="0" xfId="0" applyAlignment="1" applyBorder="1" applyFont="1">
      <alignment horizontal="center" readingOrder="0" shrinkToFit="0" vertical="center" wrapText="1"/>
    </xf>
    <xf borderId="4" fillId="0" fontId="4" numFmtId="0" xfId="0" applyAlignment="1" applyBorder="1" applyFont="1">
      <alignment horizontal="right" readingOrder="0" shrinkToFit="0" vertical="center" wrapText="1"/>
    </xf>
    <xf borderId="1" fillId="0" fontId="2" numFmtId="0" xfId="0" applyAlignment="1" applyBorder="1" applyFont="1">
      <alignment horizontal="center" readingOrder="0" shrinkToFit="0" vertical="center" wrapText="1"/>
    </xf>
    <xf borderId="4" fillId="0" fontId="20" numFmtId="0" xfId="0" applyAlignment="1" applyBorder="1" applyFont="1">
      <alignment readingOrder="0"/>
    </xf>
    <xf borderId="7" fillId="0" fontId="5" numFmtId="0" xfId="0" applyAlignment="1" applyBorder="1" applyFont="1">
      <alignment readingOrder="0" shrinkToFit="0" vertical="center" wrapText="1"/>
    </xf>
    <xf borderId="4" fillId="0" fontId="27" numFmtId="0" xfId="0" applyAlignment="1" applyBorder="1" applyFont="1">
      <alignment horizontal="left" readingOrder="0" shrinkToFit="0" wrapText="1"/>
    </xf>
    <xf borderId="4" fillId="0" fontId="4" numFmtId="0" xfId="0" applyAlignment="1" applyBorder="1" applyFont="1">
      <alignment readingOrder="0" shrinkToFit="0" vertical="center" wrapText="1"/>
    </xf>
    <xf borderId="4" fillId="3" fontId="6" numFmtId="0" xfId="0" applyAlignment="1" applyBorder="1" applyFill="1" applyFont="1">
      <alignment horizontal="center" readingOrder="0" shrinkToFit="0" vertical="center" wrapText="1"/>
    </xf>
    <xf borderId="4" fillId="0" fontId="4" numFmtId="3" xfId="0" applyAlignment="1" applyBorder="1" applyFont="1" applyNumberFormat="1">
      <alignment shrinkToFit="0" vertical="center" wrapText="1"/>
    </xf>
    <xf borderId="4" fillId="4" fontId="13" numFmtId="0" xfId="0" applyAlignment="1" applyBorder="1" applyFill="1" applyFont="1">
      <alignment horizontal="center" readingOrder="0" shrinkToFit="0" vertical="center" wrapText="1"/>
    </xf>
    <xf borderId="4" fillId="4" fontId="13" numFmtId="0" xfId="0" applyAlignment="1" applyBorder="1" applyFill="1" applyFont="1">
      <alignment horizontal="center" shrinkToFit="0" vertical="center" wrapText="1"/>
    </xf>
    <xf borderId="4" fillId="4" fontId="4" numFmtId="164" xfId="0" applyAlignment="1" applyBorder="1" applyFill="1" applyFont="1" applyNumberFormat="1">
      <alignment horizontal="right" shrinkToFit="0" vertical="center" wrapText="1"/>
    </xf>
    <xf borderId="4" fillId="4" fontId="20" numFmtId="0" xfId="0" applyAlignment="1" applyBorder="1" applyFill="1" applyFont="1">
      <alignment horizontal="right" readingOrder="0"/>
    </xf>
    <xf borderId="4" fillId="4" fontId="20" numFmtId="0" xfId="0" applyAlignment="1" applyBorder="1" applyFill="1" applyFont="1">
      <alignment horizontal="right"/>
    </xf>
    <xf borderId="4" fillId="4" fontId="20" numFmtId="0" xfId="0" applyAlignment="1" applyBorder="1" applyFill="1" applyFont="1">
      <alignment horizontal="right" readingOrder="0" shrinkToFit="0" wrapText="1"/>
    </xf>
    <xf borderId="4" fillId="4" fontId="20" numFmtId="0" xfId="0" applyAlignment="1" applyBorder="1" applyFill="1" applyFont="1">
      <alignment horizontal="right" shrinkToFit="0" wrapText="1"/>
    </xf>
    <xf borderId="4" fillId="4" fontId="4" numFmtId="0" xfId="0" applyAlignment="1" applyBorder="1" applyFill="1" applyFont="1">
      <alignment shrinkToFit="0" vertical="center" wrapText="1"/>
    </xf>
    <xf borderId="4" fillId="4" fontId="4" numFmtId="0" xfId="0" applyAlignment="1" applyBorder="1" applyFill="1" applyFont="1">
      <alignment horizontal="right" shrinkToFit="0" vertical="center" wrapText="1"/>
    </xf>
    <xf borderId="4" fillId="4" fontId="4" numFmtId="3" xfId="0" applyAlignment="1" applyBorder="1" applyFill="1" applyFont="1" applyNumberFormat="1">
      <alignment shrinkToFit="0" vertical="center" wrapText="1"/>
    </xf>
    <xf borderId="4" fillId="0" fontId="4" numFmtId="2" xfId="0" applyBorder="1" applyFont="1" applyNumberFormat="1"/>
    <xf borderId="4" fillId="5" fontId="13" numFmtId="0" xfId="0" applyAlignment="1" applyBorder="1" applyFill="1" applyFont="1">
      <alignment horizontal="center" readingOrder="0" shrinkToFit="0" vertical="center" wrapText="1"/>
    </xf>
    <xf borderId="4" fillId="5" fontId="13" numFmtId="0" xfId="0" applyAlignment="1" applyBorder="1" applyFill="1" applyFont="1">
      <alignment horizontal="center" shrinkToFit="0" vertical="center" wrapText="1"/>
    </xf>
    <xf borderId="4" fillId="5" fontId="4" numFmtId="164" xfId="0" applyAlignment="1" applyBorder="1" applyFill="1" applyFont="1" applyNumberFormat="1">
      <alignment horizontal="right" shrinkToFit="0" vertical="center" wrapText="1"/>
    </xf>
    <xf borderId="4" fillId="5" fontId="8" numFmtId="0" xfId="0" applyAlignment="1" applyBorder="1" applyFill="1" applyFont="1">
      <alignment readingOrder="0"/>
    </xf>
    <xf borderId="4" fillId="5" fontId="4" numFmtId="0" xfId="0" applyAlignment="1" applyBorder="1" applyFill="1" applyFont="1">
      <alignment horizontal="right" readingOrder="0" shrinkToFit="0" vertical="center" wrapText="1"/>
    </xf>
    <xf borderId="4" fillId="5" fontId="4" numFmtId="0" xfId="0" applyAlignment="1" applyBorder="1" applyFill="1" applyFont="1">
      <alignment shrinkToFit="0" vertical="center" wrapText="1"/>
    </xf>
    <xf borderId="7" fillId="0" fontId="20" numFmtId="0" xfId="0" applyAlignment="1" applyBorder="1" applyFont="1">
      <alignment readingOrder="0"/>
    </xf>
    <xf borderId="4" fillId="5" fontId="4" numFmtId="0" xfId="0" applyAlignment="1" applyBorder="1" applyFill="1" applyFont="1">
      <alignment horizontal="right" shrinkToFit="0" vertical="center" wrapText="1"/>
    </xf>
    <xf borderId="4" fillId="5" fontId="4" numFmtId="3" xfId="0" applyAlignment="1" applyBorder="1" applyFill="1" applyFont="1" applyNumberFormat="1">
      <alignment shrinkToFit="0" vertical="center" wrapText="1"/>
    </xf>
    <xf borderId="7" fillId="0" fontId="27" numFmtId="0" xfId="0" applyAlignment="1" applyBorder="1" applyFont="1">
      <alignment horizontal="left" readingOrder="0" shrinkToFit="0" wrapText="1"/>
    </xf>
    <xf borderId="0" fillId="0" fontId="5" numFmtId="0" xfId="0" applyAlignment="1" applyFont="1">
      <alignment readingOrder="0" shrinkToFit="0" vertical="center" wrapText="1"/>
    </xf>
    <xf borderId="4" fillId="2" fontId="13" numFmtId="2" xfId="0" applyBorder="1" applyFill="1" applyFont="1" applyNumberFormat="1"/>
    <xf borderId="0" fillId="0" fontId="27" numFmtId="0" xfId="0" applyAlignment="1" applyFont="1">
      <alignment horizontal="left" readingOrder="0" shrinkToFit="0" wrapText="1"/>
    </xf>
    <xf borderId="4" fillId="0" fontId="4" numFmtId="0" xfId="0" applyAlignment="1" applyBorder="1" applyFont="1">
      <alignment readingOrder="0" shrinkToFit="0" wrapText="1"/>
    </xf>
    <xf borderId="4" fillId="3" fontId="28" numFmtId="0" xfId="0" applyAlignment="1" applyBorder="1" applyFill="1" applyFont="1">
      <alignment horizontal="center" readingOrder="0" shrinkToFit="0" vertical="center" wrapText="1"/>
    </xf>
    <xf borderId="26" fillId="3" fontId="28" numFmtId="0" xfId="0" applyAlignment="1" applyBorder="1" applyFill="1" applyFont="1">
      <alignment horizontal="center" readingOrder="0" shrinkToFit="0" vertical="center" wrapText="1"/>
    </xf>
    <xf borderId="4" fillId="0" fontId="13" numFmtId="0" xfId="0" applyAlignment="1" applyBorder="1" applyFont="1">
      <alignment horizontal="center" readingOrder="0" vertical="center"/>
    </xf>
    <xf borderId="4" fillId="0" fontId="26" numFmtId="0" xfId="0" applyBorder="1" applyFont="1"/>
    <xf borderId="4" fillId="0" fontId="13" numFmtId="0" xfId="0" applyAlignment="1" applyBorder="1" applyFont="1">
      <alignment horizontal="center" readingOrder="0" vertical="bottom"/>
    </xf>
    <xf borderId="4" fillId="0" fontId="4" numFmtId="14" xfId="0" applyAlignment="1" applyBorder="1" applyFont="1" applyNumberFormat="1">
      <alignment horizontal="right" readingOrder="0" shrinkToFit="0" vertical="center" wrapText="1"/>
    </xf>
    <xf borderId="4" fillId="0" fontId="4" numFmtId="165" xfId="0" applyAlignment="1" applyBorder="1" applyFont="1" applyNumberFormat="1">
      <alignment horizontal="center" readingOrder="0" vertical="center"/>
    </xf>
    <xf borderId="4" fillId="2" fontId="13" numFmtId="165" xfId="0" applyAlignment="1" applyBorder="1" applyFill="1" applyFont="1" applyNumberFormat="1">
      <alignment horizontal="center" readingOrder="0" vertical="center"/>
    </xf>
    <xf borderId="4" fillId="0" fontId="4" numFmtId="0" xfId="0" applyBorder="1" applyFont="1"/>
    <xf borderId="26" fillId="0" fontId="13" numFmtId="0" xfId="0" applyAlignment="1" applyBorder="1" applyFont="1">
      <alignment horizontal="center" readingOrder="0" vertical="center"/>
    </xf>
    <xf borderId="26" fillId="0" fontId="4" numFmtId="14" xfId="0" applyAlignment="1" applyBorder="1" applyFont="1" applyNumberFormat="1">
      <alignment horizontal="right" readingOrder="0" shrinkToFit="0" vertical="center" wrapText="1"/>
    </xf>
    <xf borderId="26" fillId="0" fontId="4" numFmtId="165" xfId="0" applyAlignment="1" applyBorder="1" applyFont="1" applyNumberFormat="1">
      <alignment horizontal="center" readingOrder="0" vertical="center"/>
    </xf>
    <xf borderId="26" fillId="2" fontId="13" numFmtId="165" xfId="0" applyAlignment="1" applyBorder="1" applyFill="1" applyFont="1" applyNumberFormat="1">
      <alignment horizontal="center" readingOrder="0" vertical="center"/>
    </xf>
    <xf borderId="27" fillId="0" fontId="3" numFmtId="0" xfId="0" applyBorder="1" applyFont="1"/>
    <xf borderId="28" fillId="0" fontId="3" numFmtId="0" xfId="0" applyBorder="1" applyFont="1"/>
    <xf borderId="4" fillId="0" fontId="4" numFmtId="165" xfId="0" applyAlignment="1" applyBorder="1" applyFont="1" applyNumberFormat="1">
      <alignment horizontal="center" vertical="center"/>
    </xf>
    <xf borderId="0" fillId="0" fontId="5" numFmtId="0" xfId="0" applyAlignment="1" applyFont="1">
      <alignment vertical="center"/>
    </xf>
    <xf borderId="4" fillId="3" fontId="29" numFmtId="0" xfId="0" applyAlignment="1" applyBorder="1" applyFill="1" applyFont="1">
      <alignment horizontal="center" readingOrder="0" vertical="center"/>
    </xf>
    <xf borderId="4" fillId="3" fontId="29" numFmtId="0" xfId="0" applyAlignment="1" applyBorder="1" applyFill="1" applyFont="1">
      <alignment horizontal="center" vertical="center"/>
    </xf>
    <xf borderId="0" fillId="0" fontId="17" numFmtId="0" xfId="0" applyAlignment="1" applyFont="1">
      <alignment horizontal="right" vertical="top"/>
    </xf>
    <xf borderId="4" fillId="0" fontId="17" numFmtId="0" xfId="0" applyAlignment="1" applyBorder="1" applyFont="1">
      <alignment horizontal="right" readingOrder="0" vertical="top"/>
    </xf>
    <xf borderId="4" fillId="0" fontId="17" numFmtId="164" xfId="0" applyAlignment="1" applyBorder="1" applyFont="1" applyNumberFormat="1">
      <alignment horizontal="center" vertical="top"/>
    </xf>
    <xf borderId="4" fillId="0" fontId="17" numFmtId="2" xfId="0" applyAlignment="1" applyBorder="1" applyFont="1" applyNumberFormat="1">
      <alignment vertical="top"/>
    </xf>
    <xf borderId="4" fillId="0" fontId="17" numFmtId="2" xfId="0" applyAlignment="1" applyBorder="1" applyFont="1" applyNumberFormat="1">
      <alignment horizontal="right" vertical="top"/>
    </xf>
    <xf borderId="4" fillId="0" fontId="17" numFmtId="0" xfId="0" applyAlignment="1" applyBorder="1" applyFont="1">
      <alignment vertical="top"/>
    </xf>
    <xf borderId="4" fillId="0" fontId="17" numFmtId="0" xfId="0" applyAlignment="1" applyBorder="1" applyFont="1">
      <alignment horizontal="right" vertical="top"/>
    </xf>
    <xf borderId="4" fillId="0" fontId="17" numFmtId="0" xfId="0" applyAlignment="1" applyBorder="1" applyFont="1">
      <alignment vertical="bottom"/>
    </xf>
    <xf borderId="4" fillId="0" fontId="17" numFmtId="2" xfId="0" applyAlignment="1" applyBorder="1" applyFont="1" applyNumberFormat="1">
      <alignment vertical="bottom"/>
    </xf>
    <xf borderId="4" fillId="0" fontId="17" numFmtId="2" xfId="0" applyBorder="1" applyFont="1" applyNumberFormat="1"/>
    <xf borderId="4" fillId="0" fontId="17" numFmtId="0" xfId="0" applyBorder="1" applyFont="1"/>
    <xf borderId="4" fillId="2" fontId="22" numFmtId="0" xfId="0" applyAlignment="1" applyBorder="1" applyFill="1" applyFont="1">
      <alignment vertical="bottom"/>
    </xf>
    <xf borderId="4" fillId="2" fontId="17" numFmtId="0" xfId="0" applyAlignment="1" applyBorder="1" applyFill="1" applyFont="1">
      <alignment vertical="bottom"/>
    </xf>
    <xf borderId="4" fillId="2" fontId="17" numFmtId="0" xfId="0" applyAlignment="1" applyBorder="1" applyFill="1" applyFont="1">
      <alignment shrinkToFit="0" vertical="bottom" wrapText="1"/>
    </xf>
    <xf borderId="4" fillId="2" fontId="17" numFmtId="0" xfId="0" applyBorder="1" applyFill="1" applyFont="1"/>
    <xf borderId="0" fillId="2" fontId="8" numFmtId="0" xfId="0" applyFill="1" applyFont="1"/>
    <xf borderId="0" fillId="2" fontId="22" numFmtId="0" xfId="0" applyAlignment="1" applyFill="1" applyFont="1">
      <alignment vertical="bottom"/>
    </xf>
    <xf borderId="0" fillId="2" fontId="4" numFmtId="0" xfId="0" applyFill="1" applyFont="1"/>
    <xf borderId="0" fillId="2" fontId="13" numFmtId="0" xfId="0" applyAlignment="1" applyFill="1" applyFont="1">
      <alignment vertical="bottom"/>
    </xf>
    <xf borderId="0" fillId="0" fontId="26" numFmtId="0" xfId="0" applyFont="1"/>
    <xf borderId="0" fillId="0" fontId="26" numFmtId="0" xfId="0" applyAlignment="1" applyFont="1">
      <alignment shrinkToFit="0" wrapText="1"/>
    </xf>
    <xf borderId="4" fillId="6" fontId="4" numFmtId="0" xfId="0" applyBorder="1" applyFill="1" applyFont="1"/>
    <xf borderId="4" fillId="7" fontId="4" numFmtId="0" xfId="0" applyBorder="1" applyFill="1" applyFont="1"/>
    <xf borderId="4" fillId="8" fontId="13" numFmtId="0" xfId="0" applyAlignment="1" applyBorder="1" applyFill="1" applyFont="1">
      <alignment vertical="bottom"/>
    </xf>
    <xf borderId="0" fillId="0" fontId="4" numFmtId="0" xfId="0" applyFont="1"/>
    <xf borderId="4" fillId="0" fontId="26" numFmtId="165" xfId="0" applyBorder="1" applyFont="1" applyNumberFormat="1"/>
    <xf borderId="0" fillId="0" fontId="13" numFmtId="0" xfId="0" applyFont="1"/>
    <xf borderId="0" fillId="0" fontId="26" numFmtId="2" xfId="0" applyFont="1" applyNumberFormat="1"/>
    <xf borderId="0" fillId="0" fontId="4" numFmtId="0" xfId="0" applyAlignment="1" applyFont="1">
      <alignment horizontal="center"/>
    </xf>
    <xf borderId="0" fillId="0" fontId="13" numFmtId="0" xfId="0" applyAlignment="1" applyFont="1">
      <alignment vertical="bottom"/>
    </xf>
    <xf borderId="4" fillId="2" fontId="13" numFmtId="165" xfId="0" applyBorder="1" applyFill="1" applyFont="1" applyNumberFormat="1"/>
  </cellXfs>
  <cellStyles count="1">
    <cellStyle xfId="0" name="Normal" builtinId="0"/>
  </cellStyles>
  <dxfs count="4">
    <dxf>
      <font/>
      <fill>
        <patternFill patternType="solid">
          <fgColor rgb="FFF4C7C3"/>
          <bgColor rgb="FFF4C7C3"/>
        </patternFill>
      </fill>
      <border/>
    </dxf>
    <dxf>
      <font/>
      <fill>
        <patternFill patternType="solid">
          <fgColor rgb="FFB7E1CD"/>
          <bgColor rgb="FFB7E1CD"/>
        </patternFill>
      </fill>
      <border/>
    </dxf>
    <dxf>
      <font/>
      <fill>
        <patternFill patternType="none"/>
      </fill>
      <border/>
    </dxf>
    <dxf>
      <font>
        <color rgb="FF000000"/>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6"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mn-lt"/>
              </a:defRPr>
            </a:pPr>
            <a:r>
              <a:rPr b="0" i="0">
                <a:solidFill>
                  <a:schemeClr val="dk1"/>
                </a:solidFill>
                <a:latin typeface="+mn-lt"/>
              </a:rPr>
              <a:t>QA Bug Proportion  #/Md</a:t>
            </a:r>
          </a:p>
        </c:rich>
      </c:tx>
      <c:overlay val="0"/>
    </c:title>
    <c:plotArea>
      <c:layout>
        <c:manualLayout>
          <c:xMode val="edge"/>
          <c:yMode val="edge"/>
          <c:x val="0.08590468109631143"/>
          <c:y val="0.2864779874213837"/>
          <c:w val="0.8815133516905739"/>
          <c:h val="0.5421383647798741"/>
        </c:manualLayout>
      </c:layout>
      <c:lineChart>
        <c:ser>
          <c:idx val="0"/>
          <c:order val="0"/>
          <c:tx>
            <c:strRef>
              <c:f>'5.1 Chart_By Sprint'!$B$7</c:f>
            </c:strRef>
          </c:tx>
          <c:spPr>
            <a:ln cmpd="sng">
              <a:solidFill>
                <a:srgbClr val="E06666"/>
              </a:solidFill>
            </a:ln>
          </c:spPr>
          <c:marker>
            <c:symbol val="none"/>
          </c:marker>
          <c:cat>
            <c:strRef>
              <c:f>'5.1 Chart_By Sprint'!$A$8:$A$22</c:f>
            </c:strRef>
          </c:cat>
          <c:val>
            <c:numRef>
              <c:f>'5.1 Chart_By Sprint'!$B$8:$B$22</c:f>
              <c:numCache/>
            </c:numRef>
          </c:val>
          <c:smooth val="0"/>
        </c:ser>
        <c:ser>
          <c:idx val="1"/>
          <c:order val="1"/>
          <c:tx>
            <c:strRef>
              <c:f>'5.1 Chart_By Sprint'!$C$7</c:f>
            </c:strRef>
          </c:tx>
          <c:spPr>
            <a:ln cmpd="sng">
              <a:solidFill>
                <a:srgbClr val="34A853"/>
              </a:solidFill>
            </a:ln>
          </c:spPr>
          <c:marker>
            <c:symbol val="none"/>
          </c:marker>
          <c:cat>
            <c:strRef>
              <c:f>'5.1 Chart_By Sprint'!$A$8:$A$22</c:f>
            </c:strRef>
          </c:cat>
          <c:val>
            <c:numRef>
              <c:f>'5.1 Chart_By Sprint'!$C$8:$C$22</c:f>
              <c:numCache/>
            </c:numRef>
          </c:val>
          <c:smooth val="0"/>
        </c:ser>
        <c:ser>
          <c:idx val="2"/>
          <c:order val="2"/>
          <c:tx>
            <c:strRef>
              <c:f>'5.1 Chart_By Sprint'!$D$7</c:f>
            </c:strRef>
          </c:tx>
          <c:spPr>
            <a:ln cmpd="sng">
              <a:solidFill>
                <a:srgbClr val="FBBC04"/>
              </a:solidFill>
            </a:ln>
          </c:spPr>
          <c:marker>
            <c:symbol val="none"/>
          </c:marker>
          <c:cat>
            <c:strRef>
              <c:f>'5.1 Chart_By Sprint'!$A$8:$A$22</c:f>
            </c:strRef>
          </c:cat>
          <c:val>
            <c:numRef>
              <c:f>'5.1 Chart_By Sprint'!$D$8:$D$22</c:f>
              <c:numCache/>
            </c:numRef>
          </c:val>
          <c:smooth val="0"/>
        </c:ser>
        <c:axId val="1407775961"/>
        <c:axId val="1338941761"/>
      </c:lineChart>
      <c:catAx>
        <c:axId val="1407775961"/>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Weekly</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338941761"/>
      </c:catAx>
      <c:valAx>
        <c:axId val="13389417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407775961"/>
      </c:valAx>
    </c:plotArea>
    <c:legend>
      <c:legendPos val="t"/>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mn-lt"/>
              </a:defRPr>
            </a:pPr>
            <a:r>
              <a:rPr b="0" i="0">
                <a:solidFill>
                  <a:schemeClr val="dk1"/>
                </a:solidFill>
                <a:latin typeface="+mn-lt"/>
              </a:rPr>
              <a:t>UAT Bug Rate %</a:t>
            </a:r>
          </a:p>
        </c:rich>
      </c:tx>
      <c:overlay val="0"/>
    </c:title>
    <c:plotArea>
      <c:layout/>
      <c:lineChart>
        <c:ser>
          <c:idx val="0"/>
          <c:order val="0"/>
          <c:tx>
            <c:strRef>
              <c:f>'5.1 Chart_By Sprint'!$B$28</c:f>
            </c:strRef>
          </c:tx>
          <c:spPr>
            <a:ln cmpd="sng">
              <a:solidFill>
                <a:srgbClr val="EA4335"/>
              </a:solidFill>
            </a:ln>
          </c:spPr>
          <c:marker>
            <c:symbol val="none"/>
          </c:marker>
          <c:cat>
            <c:strRef>
              <c:f>'5.1 Chart_By Sprint'!$A$29:$A$46</c:f>
            </c:strRef>
          </c:cat>
          <c:val>
            <c:numRef>
              <c:f>'5.1 Chart_By Sprint'!$B$29:$B$46</c:f>
              <c:numCache/>
            </c:numRef>
          </c:val>
          <c:smooth val="0"/>
        </c:ser>
        <c:ser>
          <c:idx val="1"/>
          <c:order val="1"/>
          <c:tx>
            <c:strRef>
              <c:f>'5.1 Chart_By Sprint'!$C$28</c:f>
            </c:strRef>
          </c:tx>
          <c:spPr>
            <a:ln cmpd="sng">
              <a:solidFill>
                <a:srgbClr val="34A853"/>
              </a:solidFill>
            </a:ln>
          </c:spPr>
          <c:marker>
            <c:symbol val="none"/>
          </c:marker>
          <c:trendline>
            <c:name/>
            <c:spPr>
              <a:ln w="19050">
                <a:solidFill>
                  <a:srgbClr val="000000">
                    <a:alpha val="0"/>
                  </a:srgbClr>
                </a:solidFill>
              </a:ln>
            </c:spPr>
            <c:trendlineType val="linear"/>
            <c:dispRSqr val="0"/>
            <c:dispEq val="0"/>
          </c:trendline>
          <c:cat>
            <c:strRef>
              <c:f>'5.1 Chart_By Sprint'!$A$29:$A$46</c:f>
            </c:strRef>
          </c:cat>
          <c:val>
            <c:numRef>
              <c:f>'5.1 Chart_By Sprint'!$C$29:$C$46</c:f>
              <c:numCache/>
            </c:numRef>
          </c:val>
          <c:smooth val="0"/>
        </c:ser>
        <c:ser>
          <c:idx val="2"/>
          <c:order val="2"/>
          <c:tx>
            <c:strRef>
              <c:f>'5.1 Chart_By Sprint'!$D$28</c:f>
            </c:strRef>
          </c:tx>
          <c:spPr>
            <a:ln cmpd="sng">
              <a:solidFill>
                <a:srgbClr val="FBBC04"/>
              </a:solidFill>
            </a:ln>
          </c:spPr>
          <c:marker>
            <c:symbol val="none"/>
          </c:marker>
          <c:trendline>
            <c:name/>
            <c:spPr>
              <a:ln w="19050">
                <a:solidFill>
                  <a:srgbClr val="000000">
                    <a:alpha val="0"/>
                  </a:srgbClr>
                </a:solidFill>
              </a:ln>
            </c:spPr>
            <c:trendlineType val="linear"/>
            <c:dispRSqr val="0"/>
            <c:dispEq val="0"/>
          </c:trendline>
          <c:cat>
            <c:strRef>
              <c:f>'5.1 Chart_By Sprint'!$A$29:$A$46</c:f>
            </c:strRef>
          </c:cat>
          <c:val>
            <c:numRef>
              <c:f>'5.1 Chart_By Sprint'!$D$29:$D$46</c:f>
              <c:numCache/>
            </c:numRef>
          </c:val>
          <c:smooth val="0"/>
        </c:ser>
        <c:axId val="397416642"/>
        <c:axId val="1301665287"/>
      </c:lineChart>
      <c:catAx>
        <c:axId val="39741664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Weekly</a:t>
                </a:r>
              </a:p>
            </c:rich>
          </c:tx>
          <c:overlay val="0"/>
        </c:title>
        <c:numFmt formatCode="General" sourceLinked="0"/>
        <c:majorTickMark val="none"/>
        <c:minorTickMark val="none"/>
        <c:spPr>
          <a:ln>
            <a:noFill/>
          </a:ln>
        </c:spPr>
        <c:txPr>
          <a:bodyPr/>
          <a:lstStyle/>
          <a:p>
            <a:pPr lvl="0">
              <a:defRPr b="0" i="0">
                <a:solidFill>
                  <a:srgbClr val="000000"/>
                </a:solidFill>
                <a:latin typeface="+mn-lt"/>
              </a:defRPr>
            </a:pPr>
          </a:p>
        </c:txPr>
        <c:crossAx val="1301665287"/>
      </c:catAx>
      <c:valAx>
        <c:axId val="13016652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97416642"/>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mn-lt"/>
              </a:defRPr>
            </a:pPr>
            <a:r>
              <a:rPr b="0" i="0">
                <a:solidFill>
                  <a:srgbClr val="000000"/>
                </a:solidFill>
                <a:latin typeface="+mn-lt"/>
              </a:rPr>
              <a:t>Estimation Accuracy Rate (C1) %</a:t>
            </a:r>
          </a:p>
        </c:rich>
      </c:tx>
      <c:overlay val="0"/>
    </c:title>
    <c:plotArea>
      <c:layout/>
      <c:lineChart>
        <c:ser>
          <c:idx val="0"/>
          <c:order val="0"/>
          <c:tx>
            <c:strRef>
              <c:f>'5.1 Chart_By Sprint'!$B$49</c:f>
            </c:strRef>
          </c:tx>
          <c:spPr>
            <a:ln cmpd="sng">
              <a:solidFill>
                <a:srgbClr val="EA4335"/>
              </a:solidFill>
            </a:ln>
          </c:spPr>
          <c:marker>
            <c:symbol val="none"/>
          </c:marker>
          <c:cat>
            <c:strRef>
              <c:f>'5.1 Chart_By Sprint'!$A$50:$A$64</c:f>
            </c:strRef>
          </c:cat>
          <c:val>
            <c:numRef>
              <c:f>'5.1 Chart_By Sprint'!$B$50:$B$64</c:f>
              <c:numCache/>
            </c:numRef>
          </c:val>
          <c:smooth val="0"/>
        </c:ser>
        <c:ser>
          <c:idx val="1"/>
          <c:order val="1"/>
          <c:tx>
            <c:strRef>
              <c:f>'5.1 Chart_By Sprint'!$C$49</c:f>
            </c:strRef>
          </c:tx>
          <c:spPr>
            <a:ln cmpd="sng">
              <a:solidFill>
                <a:srgbClr val="34A853"/>
              </a:solidFill>
            </a:ln>
          </c:spPr>
          <c:marker>
            <c:symbol val="none"/>
          </c:marker>
          <c:cat>
            <c:strRef>
              <c:f>'5.1 Chart_By Sprint'!$A$50:$A$64</c:f>
            </c:strRef>
          </c:cat>
          <c:val>
            <c:numRef>
              <c:f>'5.1 Chart_By Sprint'!$C$50:$C$64</c:f>
              <c:numCache/>
            </c:numRef>
          </c:val>
          <c:smooth val="0"/>
        </c:ser>
        <c:ser>
          <c:idx val="2"/>
          <c:order val="2"/>
          <c:tx>
            <c:strRef>
              <c:f>'5.1 Chart_By Sprint'!$D$49</c:f>
            </c:strRef>
          </c:tx>
          <c:spPr>
            <a:ln cmpd="sng">
              <a:solidFill>
                <a:srgbClr val="FBBC04"/>
              </a:solidFill>
            </a:ln>
          </c:spPr>
          <c:marker>
            <c:symbol val="none"/>
          </c:marker>
          <c:cat>
            <c:strRef>
              <c:f>'5.1 Chart_By Sprint'!$A$50:$A$64</c:f>
            </c:strRef>
          </c:cat>
          <c:val>
            <c:numRef>
              <c:f>'5.1 Chart_By Sprint'!$D$50:$D$64</c:f>
              <c:numCache/>
            </c:numRef>
          </c:val>
          <c:smooth val="0"/>
        </c:ser>
        <c:axId val="1960649032"/>
        <c:axId val="1897569929"/>
      </c:lineChart>
      <c:catAx>
        <c:axId val="196064903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Weekly</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897569929"/>
      </c:catAx>
      <c:valAx>
        <c:axId val="1897569929"/>
        <c:scaling>
          <c:orientation val="minMax"/>
          <c:max val="1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960649032"/>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mn-lt"/>
              </a:defRPr>
            </a:pPr>
            <a:r>
              <a:rPr b="0" i="0">
                <a:solidFill>
                  <a:schemeClr val="dk1"/>
                </a:solidFill>
                <a:latin typeface="+mn-lt"/>
              </a:rPr>
              <a:t>Bug Handling Cost Rate (C2) %</a:t>
            </a:r>
          </a:p>
        </c:rich>
      </c:tx>
      <c:overlay val="0"/>
    </c:title>
    <c:plotArea>
      <c:layout/>
      <c:lineChart>
        <c:ser>
          <c:idx val="0"/>
          <c:order val="0"/>
          <c:tx>
            <c:strRef>
              <c:f>'5.1 Chart_By Sprint'!$B$72</c:f>
            </c:strRef>
          </c:tx>
          <c:spPr>
            <a:ln cmpd="sng">
              <a:solidFill>
                <a:srgbClr val="EA4335"/>
              </a:solidFill>
            </a:ln>
          </c:spPr>
          <c:marker>
            <c:symbol val="none"/>
          </c:marker>
          <c:cat>
            <c:strRef>
              <c:f>'5.1 Chart_By Sprint'!$A$73:$A$87</c:f>
            </c:strRef>
          </c:cat>
          <c:val>
            <c:numRef>
              <c:f>'5.1 Chart_By Sprint'!$B$73:$B$87</c:f>
              <c:numCache/>
            </c:numRef>
          </c:val>
          <c:smooth val="0"/>
        </c:ser>
        <c:ser>
          <c:idx val="1"/>
          <c:order val="1"/>
          <c:tx>
            <c:strRef>
              <c:f>'5.1 Chart_By Sprint'!$C$72</c:f>
            </c:strRef>
          </c:tx>
          <c:spPr>
            <a:ln cmpd="sng">
              <a:solidFill>
                <a:srgbClr val="FBBC04"/>
              </a:solidFill>
            </a:ln>
          </c:spPr>
          <c:marker>
            <c:symbol val="none"/>
          </c:marker>
          <c:trendline>
            <c:name/>
            <c:spPr>
              <a:ln w="19050">
                <a:solidFill>
                  <a:srgbClr val="000000">
                    <a:alpha val="0"/>
                  </a:srgbClr>
                </a:solidFill>
              </a:ln>
            </c:spPr>
            <c:trendlineType val="linear"/>
            <c:dispRSqr val="0"/>
            <c:dispEq val="0"/>
          </c:trendline>
          <c:cat>
            <c:strRef>
              <c:f>'5.1 Chart_By Sprint'!$A$73:$A$87</c:f>
            </c:strRef>
          </c:cat>
          <c:val>
            <c:numRef>
              <c:f>'5.1 Chart_By Sprint'!$C$73:$C$87</c:f>
              <c:numCache/>
            </c:numRef>
          </c:val>
          <c:smooth val="0"/>
        </c:ser>
        <c:ser>
          <c:idx val="2"/>
          <c:order val="2"/>
          <c:tx>
            <c:strRef>
              <c:f>'5.1 Chart_By Sprint'!$E$72</c:f>
            </c:strRef>
          </c:tx>
          <c:spPr>
            <a:ln cmpd="sng">
              <a:solidFill>
                <a:srgbClr val="34A853"/>
              </a:solidFill>
            </a:ln>
          </c:spPr>
          <c:marker>
            <c:symbol val="none"/>
          </c:marker>
          <c:trendline>
            <c:name/>
            <c:spPr>
              <a:ln w="19050">
                <a:solidFill>
                  <a:srgbClr val="000000">
                    <a:alpha val="0"/>
                  </a:srgbClr>
                </a:solidFill>
              </a:ln>
            </c:spPr>
            <c:trendlineType val="linear"/>
            <c:dispRSqr val="0"/>
            <c:dispEq val="0"/>
          </c:trendline>
          <c:cat>
            <c:strRef>
              <c:f>'5.1 Chart_By Sprint'!$A$73:$A$87</c:f>
            </c:strRef>
          </c:cat>
          <c:val>
            <c:numRef>
              <c:f>'5.1 Chart_By Sprint'!$E$73:$E$87</c:f>
              <c:numCache/>
            </c:numRef>
          </c:val>
          <c:smooth val="0"/>
        </c:ser>
        <c:axId val="353317218"/>
        <c:axId val="1214869492"/>
      </c:lineChart>
      <c:catAx>
        <c:axId val="353317218"/>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Weekly</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214869492"/>
      </c:catAx>
      <c:valAx>
        <c:axId val="1214869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53317218"/>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mn-lt"/>
              </a:defRPr>
            </a:pPr>
            <a:r>
              <a:rPr b="0" i="0">
                <a:solidFill>
                  <a:srgbClr val="000000"/>
                </a:solidFill>
                <a:latin typeface="+mn-lt"/>
              </a:rPr>
              <a:t>Deviated Delivery Days (D1)</a:t>
            </a:r>
          </a:p>
        </c:rich>
      </c:tx>
      <c:overlay val="0"/>
    </c:title>
    <c:plotArea>
      <c:layout/>
      <c:lineChart>
        <c:ser>
          <c:idx val="0"/>
          <c:order val="0"/>
          <c:tx>
            <c:strRef>
              <c:f>'5.1 Chart_By Sprint'!$B$94</c:f>
            </c:strRef>
          </c:tx>
          <c:spPr>
            <a:ln cmpd="sng">
              <a:solidFill>
                <a:srgbClr val="4285F4"/>
              </a:solidFill>
            </a:ln>
          </c:spPr>
          <c:marker>
            <c:symbol val="circle"/>
            <c:size val="7"/>
            <c:spPr>
              <a:solidFill>
                <a:srgbClr val="4285F4"/>
              </a:solidFill>
              <a:ln cmpd="sng">
                <a:solidFill>
                  <a:srgbClr val="4285F4"/>
                </a:solidFill>
              </a:ln>
            </c:spPr>
          </c:marker>
          <c:cat>
            <c:strRef>
              <c:f>'5.1 Chart_By Sprint'!$A$95:$A$109</c:f>
            </c:strRef>
          </c:cat>
          <c:val>
            <c:numRef>
              <c:f>'5.1 Chart_By Sprint'!$B$95:$B$109</c:f>
              <c:numCache/>
            </c:numRef>
          </c:val>
          <c:smooth val="0"/>
        </c:ser>
        <c:ser>
          <c:idx val="1"/>
          <c:order val="1"/>
          <c:tx>
            <c:strRef>
              <c:f>'5.1 Chart_By Sprint'!$C$94</c:f>
            </c:strRef>
          </c:tx>
          <c:spPr>
            <a:ln cmpd="sng">
              <a:solidFill>
                <a:srgbClr val="EA4335"/>
              </a:solidFill>
            </a:ln>
          </c:spPr>
          <c:marker>
            <c:symbol val="none"/>
          </c:marker>
          <c:trendline>
            <c:name/>
            <c:spPr>
              <a:ln w="19050">
                <a:solidFill>
                  <a:srgbClr val="000000">
                    <a:alpha val="0"/>
                  </a:srgbClr>
                </a:solidFill>
              </a:ln>
            </c:spPr>
            <c:trendlineType val="linear"/>
            <c:dispRSqr val="0"/>
            <c:dispEq val="0"/>
          </c:trendline>
          <c:cat>
            <c:strRef>
              <c:f>'5.1 Chart_By Sprint'!$A$95:$A$109</c:f>
            </c:strRef>
          </c:cat>
          <c:val>
            <c:numRef>
              <c:f>'5.1 Chart_By Sprint'!$C$95:$C$109</c:f>
              <c:numCache/>
            </c:numRef>
          </c:val>
          <c:smooth val="0"/>
        </c:ser>
        <c:ser>
          <c:idx val="2"/>
          <c:order val="2"/>
          <c:tx>
            <c:strRef>
              <c:f>'5.1 Chart_By Sprint'!$D$94</c:f>
            </c:strRef>
          </c:tx>
          <c:spPr>
            <a:ln cmpd="sng">
              <a:solidFill>
                <a:srgbClr val="34A853"/>
              </a:solidFill>
            </a:ln>
          </c:spPr>
          <c:marker>
            <c:symbol val="none"/>
          </c:marker>
          <c:trendline>
            <c:name/>
            <c:spPr>
              <a:ln w="19050">
                <a:solidFill>
                  <a:srgbClr val="000000">
                    <a:alpha val="0"/>
                  </a:srgbClr>
                </a:solidFill>
              </a:ln>
            </c:spPr>
            <c:trendlineType val="linear"/>
            <c:dispRSqr val="0"/>
            <c:dispEq val="0"/>
          </c:trendline>
          <c:cat>
            <c:strRef>
              <c:f>'5.1 Chart_By Sprint'!$A$95:$A$109</c:f>
            </c:strRef>
          </c:cat>
          <c:val>
            <c:numRef>
              <c:f>'5.1 Chart_By Sprint'!$D$95:$D$109</c:f>
              <c:numCache/>
            </c:numRef>
          </c:val>
          <c:smooth val="0"/>
        </c:ser>
        <c:axId val="164859066"/>
        <c:axId val="700193202"/>
      </c:lineChart>
      <c:catAx>
        <c:axId val="16485906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Weekly</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700193202"/>
      </c:catAx>
      <c:valAx>
        <c:axId val="7001932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64859066"/>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mn-lt"/>
              </a:defRPr>
            </a:pPr>
            <a:r>
              <a:rPr b="0" i="0">
                <a:solidFill>
                  <a:srgbClr val="000000"/>
                </a:solidFill>
                <a:latin typeface="+mn-lt"/>
              </a:rPr>
              <a:t>Issue Closed Ratio (M1)</a:t>
            </a:r>
          </a:p>
        </c:rich>
      </c:tx>
      <c:overlay val="0"/>
    </c:title>
    <c:plotArea>
      <c:layout/>
      <c:lineChart>
        <c:ser>
          <c:idx val="0"/>
          <c:order val="0"/>
          <c:tx>
            <c:strRef>
              <c:f>'5.1 Chart_By Sprint'!$B$118</c:f>
            </c:strRef>
          </c:tx>
          <c:spPr>
            <a:ln cmpd="sng">
              <a:solidFill>
                <a:srgbClr val="EA4335"/>
              </a:solidFill>
            </a:ln>
          </c:spPr>
          <c:marker>
            <c:symbol val="none"/>
          </c:marker>
          <c:cat>
            <c:strRef>
              <c:f>'5.1 Chart_By Sprint'!$A$119:$A$158</c:f>
            </c:strRef>
          </c:cat>
          <c:val>
            <c:numRef>
              <c:f>'5.1 Chart_By Sprint'!$B$119:$B$158</c:f>
              <c:numCache/>
            </c:numRef>
          </c:val>
          <c:smooth val="0"/>
        </c:ser>
        <c:ser>
          <c:idx val="1"/>
          <c:order val="1"/>
          <c:tx>
            <c:strRef>
              <c:f>'5.1 Chart_By Sprint'!$C$118</c:f>
            </c:strRef>
          </c:tx>
          <c:spPr>
            <a:ln cmpd="sng">
              <a:solidFill>
                <a:srgbClr val="34A853"/>
              </a:solidFill>
            </a:ln>
          </c:spPr>
          <c:marker>
            <c:symbol val="none"/>
          </c:marker>
          <c:cat>
            <c:strRef>
              <c:f>'5.1 Chart_By Sprint'!$A$119:$A$158</c:f>
            </c:strRef>
          </c:cat>
          <c:val>
            <c:numRef>
              <c:f>'5.1 Chart_By Sprint'!$C$119:$C$158</c:f>
              <c:numCache/>
            </c:numRef>
          </c:val>
          <c:smooth val="0"/>
        </c:ser>
        <c:ser>
          <c:idx val="2"/>
          <c:order val="2"/>
          <c:tx>
            <c:strRef>
              <c:f>'5.1 Chart_By Sprint'!$D$118</c:f>
            </c:strRef>
          </c:tx>
          <c:spPr>
            <a:ln cmpd="sng">
              <a:solidFill>
                <a:srgbClr val="FBBC04"/>
              </a:solidFill>
            </a:ln>
          </c:spPr>
          <c:marker>
            <c:symbol val="none"/>
          </c:marker>
          <c:cat>
            <c:strRef>
              <c:f>'5.1 Chart_By Sprint'!$A$119:$A$158</c:f>
            </c:strRef>
          </c:cat>
          <c:val>
            <c:numRef>
              <c:f>'5.1 Chart_By Sprint'!$D$119:$D$158</c:f>
              <c:numCache/>
            </c:numRef>
          </c:val>
          <c:smooth val="0"/>
        </c:ser>
        <c:axId val="577780579"/>
        <c:axId val="22109521"/>
      </c:lineChart>
      <c:catAx>
        <c:axId val="577780579"/>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Weekly</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2109521"/>
      </c:catAx>
      <c:valAx>
        <c:axId val="22109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577780579"/>
      </c:valAx>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mn-lt"/>
              </a:defRPr>
            </a:pPr>
            <a:r>
              <a:rPr b="0" i="0">
                <a:solidFill>
                  <a:schemeClr val="dk1"/>
                </a:solidFill>
                <a:latin typeface="+mn-lt"/>
              </a:rPr>
              <a:t>QA Bug Proportion  #/Mh</a:t>
            </a:r>
          </a:p>
        </c:rich>
      </c:tx>
      <c:overlay val="0"/>
    </c:title>
    <c:plotArea>
      <c:layout>
        <c:manualLayout>
          <c:xMode val="edge"/>
          <c:yMode val="edge"/>
          <c:x val="0.08590468109631143"/>
          <c:y val="0.2864779874213837"/>
          <c:w val="0.8815133516905739"/>
          <c:h val="0.5421383647798741"/>
        </c:manualLayout>
      </c:layout>
      <c:lineChart>
        <c:ser>
          <c:idx val="0"/>
          <c:order val="0"/>
          <c:tx>
            <c:strRef>
              <c:f>'5.2 Chart_By Phase'!$B$7</c:f>
            </c:strRef>
          </c:tx>
          <c:spPr>
            <a:ln cmpd="sng">
              <a:solidFill>
                <a:srgbClr val="E06666"/>
              </a:solidFill>
            </a:ln>
          </c:spPr>
          <c:marker>
            <c:symbol val="none"/>
          </c:marker>
          <c:cat>
            <c:strRef>
              <c:f>'5.2 Chart_By Phase'!$A$8:$A$14</c:f>
            </c:strRef>
          </c:cat>
          <c:val>
            <c:numRef>
              <c:f>'5.2 Chart_By Phase'!$B$8:$B$14</c:f>
              <c:numCache/>
            </c:numRef>
          </c:val>
          <c:smooth val="0"/>
        </c:ser>
        <c:ser>
          <c:idx val="1"/>
          <c:order val="1"/>
          <c:tx>
            <c:strRef>
              <c:f>'5.2 Chart_By Phase'!$C$7</c:f>
            </c:strRef>
          </c:tx>
          <c:spPr>
            <a:ln cmpd="sng">
              <a:solidFill>
                <a:srgbClr val="34A853"/>
              </a:solidFill>
            </a:ln>
          </c:spPr>
          <c:marker>
            <c:symbol val="none"/>
          </c:marker>
          <c:cat>
            <c:strRef>
              <c:f>'5.2 Chart_By Phase'!$A$8:$A$14</c:f>
            </c:strRef>
          </c:cat>
          <c:val>
            <c:numRef>
              <c:f>'5.2 Chart_By Phase'!$C$8:$C$14</c:f>
              <c:numCache/>
            </c:numRef>
          </c:val>
          <c:smooth val="0"/>
        </c:ser>
        <c:ser>
          <c:idx val="2"/>
          <c:order val="2"/>
          <c:tx>
            <c:strRef>
              <c:f>'5.2 Chart_By Phase'!$D$7</c:f>
            </c:strRef>
          </c:tx>
          <c:spPr>
            <a:ln cmpd="sng">
              <a:solidFill>
                <a:srgbClr val="FBBC04"/>
              </a:solidFill>
            </a:ln>
          </c:spPr>
          <c:marker>
            <c:symbol val="none"/>
          </c:marker>
          <c:cat>
            <c:strRef>
              <c:f>'5.2 Chart_By Phase'!$A$8:$A$14</c:f>
            </c:strRef>
          </c:cat>
          <c:val>
            <c:numRef>
              <c:f>'5.2 Chart_By Phase'!$D$8:$D$14</c:f>
              <c:numCache/>
            </c:numRef>
          </c:val>
          <c:smooth val="0"/>
        </c:ser>
        <c:axId val="296058796"/>
        <c:axId val="1528599331"/>
      </c:lineChart>
      <c:catAx>
        <c:axId val="29605879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Phase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528599331"/>
      </c:catAx>
      <c:valAx>
        <c:axId val="15285993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96058796"/>
      </c:valAx>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mn-lt"/>
              </a:defRPr>
            </a:pPr>
            <a:r>
              <a:rPr b="0" i="0">
                <a:solidFill>
                  <a:schemeClr val="dk1"/>
                </a:solidFill>
                <a:latin typeface="+mn-lt"/>
              </a:rPr>
              <a:t>UAT Bug Rate %</a:t>
            </a:r>
          </a:p>
        </c:rich>
      </c:tx>
      <c:overlay val="0"/>
    </c:title>
    <c:plotArea>
      <c:layout/>
      <c:lineChart>
        <c:ser>
          <c:idx val="0"/>
          <c:order val="0"/>
          <c:tx>
            <c:strRef>
              <c:f>'5.2 Chart_By Phase'!$B$21</c:f>
            </c:strRef>
          </c:tx>
          <c:spPr>
            <a:ln cmpd="sng">
              <a:solidFill>
                <a:srgbClr val="EA4335"/>
              </a:solidFill>
            </a:ln>
          </c:spPr>
          <c:marker>
            <c:symbol val="none"/>
          </c:marker>
          <c:cat>
            <c:strRef>
              <c:f>'5.2 Chart_By Phase'!$A$22:$A$35</c:f>
            </c:strRef>
          </c:cat>
          <c:val>
            <c:numRef>
              <c:f>'5.2 Chart_By Phase'!$B$22:$B$35</c:f>
              <c:numCache/>
            </c:numRef>
          </c:val>
          <c:smooth val="0"/>
        </c:ser>
        <c:ser>
          <c:idx val="1"/>
          <c:order val="1"/>
          <c:tx>
            <c:strRef>
              <c:f>'5.2 Chart_By Phase'!$C$21</c:f>
            </c:strRef>
          </c:tx>
          <c:spPr>
            <a:ln cmpd="sng">
              <a:solidFill>
                <a:srgbClr val="34A853"/>
              </a:solidFill>
            </a:ln>
          </c:spPr>
          <c:marker>
            <c:symbol val="none"/>
          </c:marker>
          <c:trendline>
            <c:name/>
            <c:spPr>
              <a:ln w="19050">
                <a:solidFill>
                  <a:srgbClr val="000000">
                    <a:alpha val="0"/>
                  </a:srgbClr>
                </a:solidFill>
              </a:ln>
            </c:spPr>
            <c:trendlineType val="linear"/>
            <c:dispRSqr val="0"/>
            <c:dispEq val="0"/>
          </c:trendline>
          <c:cat>
            <c:strRef>
              <c:f>'5.2 Chart_By Phase'!$A$22:$A$35</c:f>
            </c:strRef>
          </c:cat>
          <c:val>
            <c:numRef>
              <c:f>'5.2 Chart_By Phase'!$C$22:$C$35</c:f>
              <c:numCache/>
            </c:numRef>
          </c:val>
          <c:smooth val="0"/>
        </c:ser>
        <c:ser>
          <c:idx val="2"/>
          <c:order val="2"/>
          <c:tx>
            <c:strRef>
              <c:f>'5.2 Chart_By Phase'!$D$21</c:f>
            </c:strRef>
          </c:tx>
          <c:spPr>
            <a:ln cmpd="sng">
              <a:solidFill>
                <a:srgbClr val="FBBC04"/>
              </a:solidFill>
            </a:ln>
          </c:spPr>
          <c:marker>
            <c:symbol val="none"/>
          </c:marker>
          <c:trendline>
            <c:name/>
            <c:spPr>
              <a:ln w="19050">
                <a:solidFill>
                  <a:srgbClr val="000000">
                    <a:alpha val="0"/>
                  </a:srgbClr>
                </a:solidFill>
              </a:ln>
            </c:spPr>
            <c:trendlineType val="linear"/>
            <c:dispRSqr val="0"/>
            <c:dispEq val="0"/>
          </c:trendline>
          <c:cat>
            <c:strRef>
              <c:f>'5.2 Chart_By Phase'!$A$22:$A$35</c:f>
            </c:strRef>
          </c:cat>
          <c:val>
            <c:numRef>
              <c:f>'5.2 Chart_By Phase'!$D$22:$D$35</c:f>
              <c:numCache/>
            </c:numRef>
          </c:val>
          <c:smooth val="0"/>
        </c:ser>
        <c:axId val="1976160996"/>
        <c:axId val="1135175166"/>
      </c:lineChart>
      <c:catAx>
        <c:axId val="197616099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Phase</a:t>
                </a:r>
              </a:p>
            </c:rich>
          </c:tx>
          <c:overlay val="0"/>
        </c:title>
        <c:numFmt formatCode="General" sourceLinked="0"/>
        <c:majorTickMark val="none"/>
        <c:minorTickMark val="none"/>
        <c:spPr>
          <a:ln>
            <a:noFill/>
          </a:ln>
        </c:spPr>
        <c:txPr>
          <a:bodyPr/>
          <a:lstStyle/>
          <a:p>
            <a:pPr lvl="0">
              <a:defRPr b="0" i="0">
                <a:solidFill>
                  <a:srgbClr val="000000"/>
                </a:solidFill>
                <a:latin typeface="+mn-lt"/>
              </a:defRPr>
            </a:pPr>
          </a:p>
        </c:txPr>
        <c:crossAx val="1135175166"/>
      </c:catAx>
      <c:valAx>
        <c:axId val="1135175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976160996"/>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mn-lt"/>
              </a:defRPr>
            </a:pPr>
            <a:r>
              <a:rPr b="0" i="0">
                <a:solidFill>
                  <a:srgbClr val="000000"/>
                </a:solidFill>
                <a:latin typeface="+mn-lt"/>
              </a:rPr>
              <a:t>Estimation Accuracy Rate (C1) %</a:t>
            </a:r>
          </a:p>
        </c:rich>
      </c:tx>
      <c:overlay val="0"/>
    </c:title>
    <c:plotArea>
      <c:layout/>
      <c:lineChart>
        <c:ser>
          <c:idx val="0"/>
          <c:order val="0"/>
          <c:tx>
            <c:strRef>
              <c:f>'5.2 Chart_By Phase'!$B$38</c:f>
            </c:strRef>
          </c:tx>
          <c:spPr>
            <a:ln cmpd="sng">
              <a:solidFill>
                <a:srgbClr val="EA4335"/>
              </a:solidFill>
            </a:ln>
          </c:spPr>
          <c:marker>
            <c:symbol val="none"/>
          </c:marker>
          <c:cat>
            <c:strRef>
              <c:f>'5.2 Chart_By Phase'!$A$39:$A$53</c:f>
            </c:strRef>
          </c:cat>
          <c:val>
            <c:numRef>
              <c:f>'5.2 Chart_By Phase'!$B$39:$B$53</c:f>
              <c:numCache/>
            </c:numRef>
          </c:val>
          <c:smooth val="0"/>
        </c:ser>
        <c:ser>
          <c:idx val="1"/>
          <c:order val="1"/>
          <c:tx>
            <c:strRef>
              <c:f>'5.2 Chart_By Phase'!$C$38</c:f>
            </c:strRef>
          </c:tx>
          <c:spPr>
            <a:ln cmpd="sng">
              <a:solidFill>
                <a:srgbClr val="34A853"/>
              </a:solidFill>
            </a:ln>
          </c:spPr>
          <c:marker>
            <c:symbol val="none"/>
          </c:marker>
          <c:cat>
            <c:strRef>
              <c:f>'5.2 Chart_By Phase'!$A$39:$A$53</c:f>
            </c:strRef>
          </c:cat>
          <c:val>
            <c:numRef>
              <c:f>'5.2 Chart_By Phase'!$C$39:$C$53</c:f>
              <c:numCache/>
            </c:numRef>
          </c:val>
          <c:smooth val="0"/>
        </c:ser>
        <c:ser>
          <c:idx val="2"/>
          <c:order val="2"/>
          <c:tx>
            <c:strRef>
              <c:f>'5.2 Chart_By Phase'!$D$38</c:f>
            </c:strRef>
          </c:tx>
          <c:spPr>
            <a:ln cmpd="sng">
              <a:solidFill>
                <a:srgbClr val="FBBC04"/>
              </a:solidFill>
            </a:ln>
          </c:spPr>
          <c:marker>
            <c:symbol val="none"/>
          </c:marker>
          <c:cat>
            <c:strRef>
              <c:f>'5.2 Chart_By Phase'!$A$39:$A$53</c:f>
            </c:strRef>
          </c:cat>
          <c:val>
            <c:numRef>
              <c:f>'5.2 Chart_By Phase'!$D$39:$D$53</c:f>
              <c:numCache/>
            </c:numRef>
          </c:val>
          <c:smooth val="0"/>
        </c:ser>
        <c:axId val="298817341"/>
        <c:axId val="1891843163"/>
      </c:lineChart>
      <c:catAx>
        <c:axId val="298817341"/>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Phase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891843163"/>
      </c:catAx>
      <c:valAx>
        <c:axId val="1891843163"/>
        <c:scaling>
          <c:orientation val="minMax"/>
          <c:max val="1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98817341"/>
      </c:valAx>
    </c:plotArea>
    <c:legend>
      <c:legendPos val="r"/>
      <c:overlay val="0"/>
      <c:txPr>
        <a:bodyPr/>
        <a:lstStyle/>
        <a:p>
          <a:pPr lvl="0">
            <a:defRPr b="0" i="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mn-lt"/>
              </a:defRPr>
            </a:pPr>
            <a:r>
              <a:rPr b="0" i="0">
                <a:solidFill>
                  <a:schemeClr val="dk1"/>
                </a:solidFill>
                <a:latin typeface="+mn-lt"/>
              </a:rPr>
              <a:t>Bug Handling Cost Rate (C2) %</a:t>
            </a:r>
          </a:p>
        </c:rich>
      </c:tx>
      <c:overlay val="0"/>
    </c:title>
    <c:plotArea>
      <c:layout/>
      <c:lineChart>
        <c:ser>
          <c:idx val="0"/>
          <c:order val="0"/>
          <c:tx>
            <c:strRef>
              <c:f>'5.2 Chart_By Phase'!$B$56</c:f>
            </c:strRef>
          </c:tx>
          <c:spPr>
            <a:ln cmpd="sng">
              <a:solidFill>
                <a:srgbClr val="EA4335"/>
              </a:solidFill>
            </a:ln>
          </c:spPr>
          <c:marker>
            <c:symbol val="none"/>
          </c:marker>
          <c:cat>
            <c:strRef>
              <c:f>'5.2 Chart_By Phase'!$A$57:$A$67</c:f>
            </c:strRef>
          </c:cat>
          <c:val>
            <c:numRef>
              <c:f>'5.2 Chart_By Phase'!$B$57:$B$67</c:f>
              <c:numCache/>
            </c:numRef>
          </c:val>
          <c:smooth val="0"/>
        </c:ser>
        <c:ser>
          <c:idx val="1"/>
          <c:order val="1"/>
          <c:tx>
            <c:strRef>
              <c:f>'5.2 Chart_By Phase'!$C$56</c:f>
            </c:strRef>
          </c:tx>
          <c:spPr>
            <a:ln cmpd="sng">
              <a:solidFill>
                <a:srgbClr val="FBBC04"/>
              </a:solidFill>
            </a:ln>
          </c:spPr>
          <c:marker>
            <c:symbol val="none"/>
          </c:marker>
          <c:trendline>
            <c:name/>
            <c:spPr>
              <a:ln w="19050">
                <a:solidFill>
                  <a:srgbClr val="000000">
                    <a:alpha val="0"/>
                  </a:srgbClr>
                </a:solidFill>
              </a:ln>
            </c:spPr>
            <c:trendlineType val="linear"/>
            <c:dispRSqr val="0"/>
            <c:dispEq val="0"/>
          </c:trendline>
          <c:cat>
            <c:strRef>
              <c:f>'5.2 Chart_By Phase'!$A$57:$A$67</c:f>
            </c:strRef>
          </c:cat>
          <c:val>
            <c:numRef>
              <c:f>'5.2 Chart_By Phase'!$C$57:$C$67</c:f>
              <c:numCache/>
            </c:numRef>
          </c:val>
          <c:smooth val="0"/>
        </c:ser>
        <c:ser>
          <c:idx val="2"/>
          <c:order val="2"/>
          <c:tx>
            <c:strRef>
              <c:f>'5.2 Chart_By Phase'!$E$56</c:f>
            </c:strRef>
          </c:tx>
          <c:spPr>
            <a:ln cmpd="sng">
              <a:solidFill>
                <a:srgbClr val="34A853"/>
              </a:solidFill>
            </a:ln>
          </c:spPr>
          <c:marker>
            <c:symbol val="none"/>
          </c:marker>
          <c:trendline>
            <c:name/>
            <c:spPr>
              <a:ln w="19050">
                <a:solidFill>
                  <a:srgbClr val="000000">
                    <a:alpha val="0"/>
                  </a:srgbClr>
                </a:solidFill>
              </a:ln>
            </c:spPr>
            <c:trendlineType val="linear"/>
            <c:dispRSqr val="0"/>
            <c:dispEq val="0"/>
          </c:trendline>
          <c:cat>
            <c:strRef>
              <c:f>'5.2 Chart_By Phase'!$A$57:$A$67</c:f>
            </c:strRef>
          </c:cat>
          <c:val>
            <c:numRef>
              <c:f>'5.2 Chart_By Phase'!$E$57:$E$67</c:f>
              <c:numCache/>
            </c:numRef>
          </c:val>
          <c:smooth val="0"/>
        </c:ser>
        <c:axId val="1887236130"/>
        <c:axId val="708255576"/>
      </c:lineChart>
      <c:catAx>
        <c:axId val="188723613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Phase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708255576"/>
      </c:catAx>
      <c:valAx>
        <c:axId val="7082555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887236130"/>
      </c:valAx>
    </c:plotArea>
    <c:legend>
      <c:legendPos val="r"/>
      <c:overlay val="0"/>
      <c:txPr>
        <a:bodyPr/>
        <a:lstStyle/>
        <a:p>
          <a:pPr lvl="0">
            <a:defRPr b="0" i="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mn-lt"/>
              </a:defRPr>
            </a:pPr>
            <a:r>
              <a:rPr b="0" i="0">
                <a:solidFill>
                  <a:srgbClr val="000000"/>
                </a:solidFill>
                <a:latin typeface="+mn-lt"/>
              </a:rPr>
              <a:t>Issue Closed Ratio (M1)</a:t>
            </a:r>
          </a:p>
        </c:rich>
      </c:tx>
      <c:overlay val="0"/>
    </c:title>
    <c:plotArea>
      <c:layout/>
      <c:lineChart>
        <c:ser>
          <c:idx val="0"/>
          <c:order val="0"/>
          <c:tx>
            <c:strRef>
              <c:f>'5.2 Chart_By Phase'!$B$71</c:f>
            </c:strRef>
          </c:tx>
          <c:spPr>
            <a:ln cmpd="sng">
              <a:solidFill>
                <a:srgbClr val="EA4335"/>
              </a:solidFill>
            </a:ln>
          </c:spPr>
          <c:marker>
            <c:symbol val="none"/>
          </c:marker>
          <c:cat>
            <c:strRef>
              <c:f>'5.2 Chart_By Phase'!$A$72:$A$111</c:f>
            </c:strRef>
          </c:cat>
          <c:val>
            <c:numRef>
              <c:f>'5.2 Chart_By Phase'!$B$72:$B$111</c:f>
              <c:numCache/>
            </c:numRef>
          </c:val>
          <c:smooth val="0"/>
        </c:ser>
        <c:ser>
          <c:idx val="1"/>
          <c:order val="1"/>
          <c:tx>
            <c:strRef>
              <c:f>'5.2 Chart_By Phase'!$C$71</c:f>
            </c:strRef>
          </c:tx>
          <c:spPr>
            <a:ln cmpd="sng">
              <a:solidFill>
                <a:srgbClr val="34A853"/>
              </a:solidFill>
            </a:ln>
          </c:spPr>
          <c:marker>
            <c:symbol val="none"/>
          </c:marker>
          <c:cat>
            <c:strRef>
              <c:f>'5.2 Chart_By Phase'!$A$72:$A$111</c:f>
            </c:strRef>
          </c:cat>
          <c:val>
            <c:numRef>
              <c:f>'5.2 Chart_By Phase'!$C$72:$C$111</c:f>
              <c:numCache/>
            </c:numRef>
          </c:val>
          <c:smooth val="0"/>
        </c:ser>
        <c:ser>
          <c:idx val="2"/>
          <c:order val="2"/>
          <c:tx>
            <c:strRef>
              <c:f>'5.2 Chart_By Phase'!$D$71</c:f>
            </c:strRef>
          </c:tx>
          <c:spPr>
            <a:ln cmpd="sng">
              <a:solidFill>
                <a:srgbClr val="FBBC04"/>
              </a:solidFill>
            </a:ln>
          </c:spPr>
          <c:marker>
            <c:symbol val="none"/>
          </c:marker>
          <c:cat>
            <c:strRef>
              <c:f>'5.2 Chart_By Phase'!$A$72:$A$111</c:f>
            </c:strRef>
          </c:cat>
          <c:val>
            <c:numRef>
              <c:f>'5.2 Chart_By Phase'!$D$72:$D$111</c:f>
              <c:numCache/>
            </c:numRef>
          </c:val>
          <c:smooth val="0"/>
        </c:ser>
        <c:axId val="14036946"/>
        <c:axId val="1308181384"/>
      </c:lineChart>
      <c:catAx>
        <c:axId val="14036946"/>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Phase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308181384"/>
      </c:catAx>
      <c:valAx>
        <c:axId val="13081813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4036946"/>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 Id="rId5" Type="http://schemas.openxmlformats.org/officeDocument/2006/relationships/chart" Target="../charts/chart11.xml"/><Relationship Id="rId6"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0</xdr:row>
      <xdr:rowOff>228600</xdr:rowOff>
    </xdr:from>
    <xdr:ext cx="942975" cy="3048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95250</xdr:rowOff>
    </xdr:from>
    <xdr:ext cx="1162050" cy="381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85725</xdr:rowOff>
    </xdr:from>
    <xdr:ext cx="1238250" cy="390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104775</xdr:rowOff>
    </xdr:from>
    <xdr:ext cx="1162050" cy="3810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104775</xdr:rowOff>
    </xdr:from>
    <xdr:ext cx="1162050" cy="3810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7</xdr:row>
      <xdr:rowOff>19050</xdr:rowOff>
    </xdr:from>
    <xdr:ext cx="4648200" cy="30289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847725</xdr:colOff>
      <xdr:row>28</xdr:row>
      <xdr:rowOff>38100</xdr:rowOff>
    </xdr:from>
    <xdr:ext cx="4819650" cy="291465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19050</xdr:colOff>
      <xdr:row>48</xdr:row>
      <xdr:rowOff>209550</xdr:rowOff>
    </xdr:from>
    <xdr:ext cx="4733925" cy="340995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57150</xdr:colOff>
      <xdr:row>72</xdr:row>
      <xdr:rowOff>28575</xdr:rowOff>
    </xdr:from>
    <xdr:ext cx="4905375" cy="28479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619125</xdr:colOff>
      <xdr:row>94</xdr:row>
      <xdr:rowOff>114300</xdr:rowOff>
    </xdr:from>
    <xdr:ext cx="5105400" cy="29622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47625</xdr:colOff>
      <xdr:row>116</xdr:row>
      <xdr:rowOff>114300</xdr:rowOff>
    </xdr:from>
    <xdr:ext cx="5105400" cy="2962275"/>
    <xdr:graphicFrame>
      <xdr:nvGraphicFramePr>
        <xdr:cNvPr id="11" name="Chart 11"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466725</xdr:colOff>
      <xdr:row>0</xdr:row>
      <xdr:rowOff>114300</xdr:rowOff>
    </xdr:from>
    <xdr:ext cx="1162050" cy="38100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152400</xdr:colOff>
      <xdr:row>6</xdr:row>
      <xdr:rowOff>9525</xdr:rowOff>
    </xdr:from>
    <xdr:ext cx="5695950" cy="26003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66675</xdr:colOff>
      <xdr:row>19</xdr:row>
      <xdr:rowOff>9525</xdr:rowOff>
    </xdr:from>
    <xdr:ext cx="5781675" cy="27241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57150</xdr:colOff>
      <xdr:row>36</xdr:row>
      <xdr:rowOff>66675</xdr:rowOff>
    </xdr:from>
    <xdr:ext cx="5791200" cy="29146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57150</xdr:colOff>
      <xdr:row>54</xdr:row>
      <xdr:rowOff>114300</xdr:rowOff>
    </xdr:from>
    <xdr:ext cx="5791200" cy="272415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47625</xdr:colOff>
      <xdr:row>69</xdr:row>
      <xdr:rowOff>114300</xdr:rowOff>
    </xdr:from>
    <xdr:ext cx="5791200" cy="2428875"/>
    <xdr:graphicFrame>
      <xdr:nvGraphicFramePr>
        <xdr:cNvPr id="7"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466725</xdr:colOff>
      <xdr:row>0</xdr:row>
      <xdr:rowOff>114300</xdr:rowOff>
    </xdr:from>
    <xdr:ext cx="1162050" cy="38100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0</xdr:row>
      <xdr:rowOff>66675</xdr:rowOff>
    </xdr:from>
    <xdr:ext cx="1162050" cy="381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I24" sheet="4.1 Project Summary_Sprint"/>
  </cacheSource>
  <cacheFields>
    <cacheField name="Sprint" numFmtId="0">
      <sharedItems containsSemiMixedTypes="0" containsString="0" containsNumber="1" containsInteger="1">
        <n v="1.0"/>
        <n v="2.0"/>
        <n v="3.0"/>
        <n v="4.0"/>
        <n v="5.0"/>
        <n v="6.0"/>
        <n v="7.0"/>
        <n v="8.0"/>
        <n v="9.0"/>
        <n v="10.0"/>
        <n v="11.0"/>
        <n v="12.0"/>
        <n v="13.0"/>
        <n v="14.0"/>
        <n v="15.0"/>
        <n v="16.0"/>
        <n v="17.0"/>
        <n v="18.0"/>
      </sharedItems>
    </cacheField>
    <cacheField name="Start phase" numFmtId="164">
      <sharedItems containsSemiMixedTypes="0" containsDate="1" containsString="0">
        <d v="2024-03-07T00:00:00Z"/>
        <d v="2024-03-14T00:00:00Z"/>
        <d v="2024-03-21T00:00:00Z"/>
        <d v="2024-03-28T00:00:00Z"/>
        <d v="2024-04-04T00:00:00Z"/>
        <d v="2024-04-11T00:00:00Z"/>
        <d v="2024-04-18T00:00:00Z"/>
        <d v="2024-04-25T00:00:00Z"/>
        <d v="2024-05-08T00:00:00Z"/>
        <d v="2024-05-15T00:00:00Z"/>
        <d v="2024-05-22T00:00:00Z"/>
        <d v="2024-05-29T00:00:00Z"/>
        <d v="2024-06-05T00:00:00Z"/>
        <d v="2024-06-12T00:00:00Z"/>
        <d v="2024-06-19T00:00:00Z"/>
        <d v="2024-06-26T00:00:00Z"/>
        <d v="2024-07-03T00:00:00Z"/>
        <d v="2024-07-10T00:00:00Z"/>
      </sharedItems>
    </cacheField>
    <cacheField name="End phase" numFmtId="164">
      <sharedItems containsSemiMixedTypes="0" containsDate="1" containsString="0">
        <d v="2024-03-13T00:00:00Z"/>
        <d v="2024-03-20T00:00:00Z"/>
        <d v="2024-03-27T00:00:00Z"/>
        <d v="2024-04-03T00:00:00Z"/>
        <d v="2024-04-10T00:00:00Z"/>
        <d v="2024-04-17T00:00:00Z"/>
        <d v="2024-04-24T00:00:00Z"/>
        <d v="2024-05-08T00:00:00Z"/>
        <d v="2024-05-15T00:00:00Z"/>
        <d v="2024-05-22T00:00:00Z"/>
        <d v="2024-05-29T00:00:00Z"/>
        <d v="2024-06-05T00:00:00Z"/>
        <d v="2024-06-12T00:00:00Z"/>
        <d v="2024-06-19T00:00:00Z"/>
        <d v="2024-06-26T00:00:00Z"/>
        <d v="2024-07-03T00:00:00Z"/>
        <d v="2024-07-10T00:00:00Z"/>
        <d v="2024-07-17T00:00:00Z"/>
      </sharedItems>
    </cacheField>
    <cacheField name="QA Bug Proportion&#10; (Q1) #/Mh&#10;Internal Bug Count&#10;/ Total Actual Effort [MH]" numFmtId="2">
      <sharedItems containsSemiMixedTypes="0" containsString="0" containsNumber="1">
        <n v="0.0"/>
        <n v="0.38461538461538464"/>
        <n v="0.003125"/>
        <n v="0.16666666666666666"/>
        <n v="0.09090909090909091"/>
        <n v="0.008333333333333333"/>
        <n v="0.034482758620689655"/>
        <n v="0.025974025974025976"/>
        <n v="0.037037037037037035"/>
        <n v="0.029850746268656716"/>
        <n v="0.10714285714285714"/>
      </sharedItems>
    </cacheField>
    <cacheField name="UAT Bug Rate &#10;(Q2)%&#10;( UAT Bug Count/ All Bug Count ) * 100">
      <sharedItems containsMixedTypes="1" containsNumber="1">
        <s v=""/>
        <n v="0.0"/>
        <n v="0.8333333333333334"/>
        <n v="0.9090909090909091"/>
      </sharedItems>
    </cacheField>
    <cacheField name="Estimation Accuracy Rate&#10; (C1)%&#10;( Total Actual Effort / Total Estimated Effort ) * 100" numFmtId="2">
      <sharedItems containsSemiMixedTypes="0" containsString="0" containsNumber="1">
        <n v="100.0"/>
        <n v="120.0"/>
        <n v="36.666666666666664"/>
        <n v="80.0"/>
        <n v="107.40740740740742"/>
        <n v="97.10144927536231"/>
        <n v="113.23529411764706"/>
        <n v="97.1830985915493"/>
        <n v="89.39393939393939"/>
        <n v="93.10344827586206"/>
        <n v="95.71428571428572"/>
        <n v="105.55555555555556"/>
        <n v="98.24561403508771"/>
        <n v="108.97435897435896"/>
        <n v="96.55172413793103"/>
      </sharedItems>
    </cacheField>
    <cacheField name="Bug Handling Cost Rate &#10;(C2)%&#10;( Total Bug Handling Effort / Total Actual Effort ) * 100 " numFmtId="2">
      <sharedItems containsSemiMixedTypes="0" containsString="0" containsNumber="1">
        <n v="0.0"/>
        <n v="1.5384615384615385"/>
        <n v="37.5"/>
        <n v="175.0"/>
        <n v="1009.0909090909091"/>
        <n v="25.0"/>
        <n v="5.194805194805195"/>
        <n v="7.4074074074074066"/>
        <n v="2.9850746268656714"/>
        <n v="17.857142857142858"/>
      </sharedItems>
    </cacheField>
    <cacheField name="Issue Closed Ratio &#10;(M1)%&#10;(Closed Issue Count / All Issue Count)*100" numFmtId="2">
      <sharedItems containsSemiMixedTypes="0" containsString="0" containsNumber="1">
        <n v="70.0"/>
        <n v="95.45454545454545"/>
        <n v="88.23529411764706"/>
        <n v="100.0"/>
        <n v="94.44444444444444"/>
        <n v="93.33333333333333"/>
        <n v="87.5"/>
        <n v="92.3076923076923"/>
      </sharedItems>
    </cacheField>
    <cacheField name="Note" numFmtId="0">
      <sharedItems containsBlank="1">
        <s v="Because one ticket was waiting for the client to review the PR, another ticket was waiting for stakeholders to respond, and three other tickets were awaiting review by a team member who was off that day."/>
        <m/>
        <s v="In this sprint, one of our team members took 2 days off. When he returned to work, there were a lot of investigation reports and pull requests for him to review. These tasks took up his time and hindered him from handling the implementation tasks. &#10;Anothe"/>
        <s v="During this sprint, there were some investigation tickets related to new pages and features that the team had not encountered before. This is why the investigation took longer than expected."/>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H45" sheet="4.1 Project Summary_Sprint"/>
  </cacheSource>
  <cacheFields>
    <cacheField name="Spri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sharedItems>
    </cacheField>
    <cacheField name="Start phase" numFmtId="164">
      <sharedItems containsSemiMixedTypes="0" containsDate="1" containsString="0">
        <d v="2024-03-07T00:00:00Z"/>
        <d v="2024-03-14T00:00:00Z"/>
        <d v="2024-03-21T00:00:00Z"/>
        <d v="2024-03-28T00:00:00Z"/>
        <d v="2024-04-04T00:00:00Z"/>
        <d v="2024-04-11T00:00:00Z"/>
        <d v="2024-04-18T00:00:00Z"/>
        <d v="2024-04-25T00:00:00Z"/>
        <d v="2024-05-08T00:00:00Z"/>
        <d v="2024-05-15T00:00:00Z"/>
        <d v="2024-05-22T00:00:00Z"/>
        <d v="2024-05-29T00:00:00Z"/>
        <d v="2024-06-05T00:00:00Z"/>
        <d v="2024-06-12T00:00:00Z"/>
        <d v="2024-06-19T00:00:00Z"/>
        <d v="2024-06-26T00:00:00Z"/>
        <d v="2024-07-03T00:00:00Z"/>
        <d v="2024-07-10T00:00:00Z"/>
        <d v="2024-07-17T00:00:00Z"/>
        <d v="2024-07-24T00:00:00Z"/>
        <d v="2024-08-01T00:00:00Z"/>
        <d v="2024-08-14T00:00:00Z"/>
        <d v="2024-08-21T00:00:00Z"/>
        <d v="2024-08-28T00:00:00Z"/>
        <d v="2024-09-04T00:00:00Z"/>
        <d v="2024-09-11T00:00:00Z"/>
        <d v="2024-09-18T00:00:00Z"/>
        <d v="2024-09-25T00:00:00Z"/>
        <d v="2024-10-02T00:00:00Z"/>
        <d v="2024-10-09T00:00:00Z"/>
        <d v="2024-10-16T00:00:00Z"/>
        <d v="2024-10-23T00:00:00Z"/>
        <d v="2024-10-30T00:00:00Z"/>
        <d v="2024-11-06T00:00:00Z"/>
        <d v="2024-11-13T00:00:00Z"/>
        <d v="2024-11-20T00:00:00Z"/>
        <d v="2024-11-27T00:00:00Z"/>
        <d v="2024-12-04T00:00:00Z"/>
        <d v="2024-12-11T00:00:00Z"/>
      </sharedItems>
    </cacheField>
    <cacheField name="End phase" numFmtId="164">
      <sharedItems containsSemiMixedTypes="0" containsDate="1" containsString="0">
        <d v="2024-03-13T00:00:00Z"/>
        <d v="2024-03-20T00:00:00Z"/>
        <d v="2024-03-27T00:00:00Z"/>
        <d v="2024-04-03T00:00:00Z"/>
        <d v="2024-04-10T00:00:00Z"/>
        <d v="2024-04-17T00:00:00Z"/>
        <d v="2024-04-24T00:00:00Z"/>
        <d v="2024-05-08T00:00:00Z"/>
        <d v="2024-05-15T00:00:00Z"/>
        <d v="2024-05-22T00:00:00Z"/>
        <d v="2024-05-29T00:00:00Z"/>
        <d v="2024-06-05T00:00:00Z"/>
        <d v="2024-06-12T00:00:00Z"/>
        <d v="2024-06-19T00:00:00Z"/>
        <d v="2024-06-26T00:00:00Z"/>
        <d v="2024-07-03T00:00:00Z"/>
        <d v="2024-07-10T00:00:00Z"/>
        <d v="2024-07-17T00:00:00Z"/>
        <d v="2024-07-24T00:00:00Z"/>
        <d v="2024-08-01T00:00:00Z"/>
        <d v="2024-08-14T00:00:00Z"/>
        <d v="2024-08-21T00:00:00Z"/>
        <d v="2024-08-28T00:00:00Z"/>
        <d v="2024-09-04T00:00:00Z"/>
        <d v="2024-09-11T00:00:00Z"/>
        <d v="2024-09-18T00:00:00Z"/>
        <d v="2024-09-25T00:00:00Z"/>
        <d v="2024-10-02T00:00:00Z"/>
        <d v="2024-10-09T00:00:00Z"/>
        <d v="2024-10-16T00:00:00Z"/>
        <d v="2024-10-23T00:00:00Z"/>
        <d v="2024-10-30T00:00:00Z"/>
        <d v="2024-11-06T00:00:00Z"/>
        <d v="2024-11-13T00:00:00Z"/>
        <d v="2024-11-20T00:00:00Z"/>
        <d v="2024-11-27T00:00:00Z"/>
        <d v="2024-12-04T00:00:00Z"/>
        <d v="2024-12-11T00:00:00Z"/>
        <d v="2024-12-18T00:00:00Z"/>
      </sharedItems>
    </cacheField>
    <cacheField name="QA Bug Proportion&#10; (Q1) #/Mh&#10;Internal Bug Count&#10;/ Total Actual Effort [MH]">
      <sharedItems containsMixedTypes="1" containsNumber="1">
        <n v="0.0"/>
        <n v="0.38461538461538464"/>
        <n v="0.003125"/>
        <n v="0.16666666666666666"/>
        <n v="0.09090909090909091"/>
        <n v="0.008333333333333333"/>
        <n v="0.034482758620689655"/>
        <n v="0.025974025974025976"/>
        <n v="0.037037037037037035"/>
        <n v="0.029850746268656716"/>
        <n v="0.10714285714285714"/>
        <n v="0.09230769230769231"/>
        <n v="0.027777777777777776"/>
        <n v="0.038461538461538464"/>
        <n v="0.075"/>
        <n v="0.05128205128205128"/>
        <n v="0.08333333333333333"/>
        <n v="0.08108108108108109"/>
        <e v="#DIV/0!"/>
      </sharedItems>
    </cacheField>
    <cacheField name="UAT Bug Rate &#10;(Q2)%&#10;( UAT Bug Count/ All Bug Count ) * 100">
      <sharedItems containsMixedTypes="1" containsNumber="1">
        <s v=""/>
        <n v="0.0"/>
        <n v="0.8333333333333334"/>
        <n v="0.9090909090909091"/>
      </sharedItems>
    </cacheField>
    <cacheField name="Estimation Accuracy Rate&#10; (C1)%&#10;( Total Actual Effort / Total Estimated Effort ) * 100">
      <sharedItems containsMixedTypes="1" containsNumber="1">
        <n v="100.0"/>
        <n v="120.0"/>
        <n v="36.666666666666664"/>
        <n v="80.0"/>
        <n v="107.40740740740742"/>
        <n v="97.10144927536231"/>
        <n v="113.23529411764706"/>
        <n v="97.1830985915493"/>
        <n v="89.39393939393939"/>
        <n v="93.10344827586206"/>
        <n v="95.71428571428572"/>
        <n v="105.55555555555556"/>
        <n v="98.24561403508771"/>
        <n v="108.97435897435896"/>
        <n v="96.55172413793103"/>
        <n v="110.16949152542372"/>
        <n v="93.5064935064935"/>
        <n v="111.8279569892473"/>
        <n v="114.28571428571428"/>
        <n v="106.84931506849315"/>
        <n v="33.33333333333333"/>
        <n v="112.5"/>
        <n v="90.0"/>
        <n v="92.5"/>
        <e v="#DIV/0!"/>
      </sharedItems>
    </cacheField>
    <cacheField name="Bug Handling Cost Rate &#10;(C2)%&#10;( Total Bug Handling Effort / Total Actual Effort ) * 100 ">
      <sharedItems containsMixedTypes="1" containsNumber="1">
        <n v="0.0"/>
        <n v="1.5384615384615385"/>
        <n v="37.5"/>
        <n v="175.0"/>
        <n v="1009.0909090909091"/>
        <n v="25.0"/>
        <n v="5.194805194805195"/>
        <n v="7.4074074074074066"/>
        <n v="2.9850746268656714"/>
        <n v="17.857142857142858"/>
        <n v="12.307692307692308"/>
        <n v="2.7777777777777777"/>
        <n v="6.730769230769231"/>
        <n v="8.75"/>
        <n v="17.94871794871795"/>
        <n v="19.444444444444446"/>
        <n v="18.91891891891892"/>
        <e v="#DIV/0!"/>
      </sharedItems>
    </cacheField>
    <cacheField name="Issue Closed Ratio &#10;(M1)%&#10;(Closed Issue Count / All Issue Count)*100">
      <sharedItems containsMixedTypes="1" containsNumber="1">
        <n v="70.0"/>
        <n v="95.45454545454545"/>
        <n v="88.23529411764706"/>
        <n v="100.0"/>
        <n v="94.44444444444444"/>
        <n v="93.33333333333333"/>
        <n v="87.5"/>
        <n v="92.3076923076923"/>
        <n v="85.71428571428571"/>
        <n v="88.0"/>
        <n v="41.66666666666667"/>
        <n v="88.88888888888889"/>
        <e v="#DIV/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6:I54" sheet="4.2 Project Summary_By Phase"/>
  </cacheSource>
  <cacheFields>
    <cacheField name="Phase" numFmtId="0">
      <sharedItems containsString="0" containsBlank="1" containsNumber="1" containsInteger="1">
        <n v="1.0"/>
        <n v="2.0"/>
        <m/>
        <n v="3.0"/>
        <n v="4.0"/>
        <n v="5.0"/>
      </sharedItems>
    </cacheField>
    <cacheField name="Sprint/ Week"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m/>
      </sharedItems>
    </cacheField>
    <cacheField name="Start date" numFmtId="14">
      <sharedItems containsDate="1" containsString="0" containsBlank="1">
        <d v="2024-03-07T00:00:00Z"/>
        <d v="2024-03-14T00:00:00Z"/>
        <m/>
        <d v="2024-05-29T00:00:00Z"/>
        <d v="2024-08-28T00:00:00Z"/>
        <d v="2024-10-23T00:00:00Z"/>
      </sharedItems>
    </cacheField>
    <cacheField name="End date" numFmtId="14">
      <sharedItems containsDate="1" containsString="0" containsBlank="1">
        <d v="2024-03-13T00:00:00Z"/>
        <d v="2024-05-29T00:00:00Z"/>
        <m/>
        <d v="2024-08-28T00:00:00Z"/>
        <d v="2024-10-23T00:00:00Z"/>
        <d v="2024-12-25T00:00:00Z"/>
      </sharedItems>
    </cacheField>
    <cacheField name="QA Bug Proportion &#10;(Q1) #/Mh&#10;Internal Bug Count&#10;/ Total Actual Effort [MH]">
      <sharedItems containsBlank="1" containsMixedTypes="1" containsNumber="1">
        <n v="0.0"/>
        <n v="12.550200803212853"/>
        <m/>
        <n v="3.823178016726404"/>
        <n v="11.882287617990006"/>
        <e v="#NUM!"/>
      </sharedItems>
    </cacheField>
    <cacheField name="UAT Bug Rate &#10;(Q2)%&#10;( UAT Bug Count/ All Bug Count ) * 100">
      <sharedItems containsBlank="1" containsMixedTypes="1" containsNumber="1">
        <e v="#NUM!"/>
        <n v="10.714285714285714"/>
        <m/>
        <n v="0.0"/>
      </sharedItems>
    </cacheField>
    <cacheField name="Estimation Accuracy Rate &#10;(C1)%&#10;( Total Actual Effort / Total Estimated Effort ) * 100">
      <sharedItems containsBlank="1" containsMixedTypes="1" containsNumber="1">
        <n v="100.0"/>
        <n v="97.265625"/>
        <m/>
        <n v="103.33333333333334"/>
        <n v="98.20065430752453"/>
        <e v="#NUM!"/>
      </sharedItems>
    </cacheField>
    <cacheField name="Bug Handling Cost Rate &#10;(C2)%&#10;( Total Bug Handling Effort / Total Actual Effort ) * 100 ">
      <sharedItems containsBlank="1" containsMixedTypes="1" containsNumber="1">
        <n v="0.0"/>
        <n v="47.89156626506024"/>
        <m/>
        <n v="6.451612903225806"/>
        <n v="15.324819544697391"/>
        <e v="#NUM!"/>
      </sharedItems>
    </cacheField>
    <cacheField name="Issue Closed Ratio &#10;(M1)%&#10;(Closed Issue Count / All Issue Count)*100">
      <sharedItems containsBlank="1" containsMixedTypes="1" containsNumber="1">
        <n v="70.0"/>
        <n v="95.97701149425288"/>
        <m/>
        <n v="96.82539682539682"/>
        <n v="85.71428571428571"/>
        <e v="#NU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5.1 Chart_By Sprint" cacheId="0" dataCaption="" compact="0" compactData="0">
  <location ref="A7:B26" firstHeaderRow="0" firstDataRow="1" firstDataCol="0"/>
  <pivotFields>
    <pivotField name="Sprint" axis="axisRow" compact="0" outline="0" multipleItemSelectionAllowed="1" showAll="0" sortType="ascending">
      <items>
        <item x="0"/>
        <item x="1"/>
        <item x="2"/>
        <item x="3"/>
        <item x="4"/>
        <item x="5"/>
        <item x="6"/>
        <item x="7"/>
        <item x="8"/>
        <item x="9"/>
        <item x="10"/>
        <item x="11"/>
        <item x="12"/>
        <item x="13"/>
        <item x="14"/>
        <item x="15"/>
        <item x="16"/>
        <item x="17"/>
        <item t="default"/>
      </items>
    </pivotField>
    <pivotField name="Start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End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QA Bug Proportion&#10; (Q1) #/Mh&#10;Internal Bug Count&#10;/ Total Actual Effort [MH]" dataField="1" compact="0" numFmtId="2" outline="0" multipleItemSelectionAllowed="1" showAll="0">
      <items>
        <item x="0"/>
        <item x="1"/>
        <item x="2"/>
        <item x="3"/>
        <item x="4"/>
        <item x="5"/>
        <item x="6"/>
        <item x="7"/>
        <item x="8"/>
        <item x="9"/>
        <item x="10"/>
        <item t="default"/>
      </items>
    </pivotField>
    <pivotField name="UAT Bug Rate &#10;(Q2)%&#10;( UAT Bug Count/ All Bug Count ) * 100" compact="0" outline="0" multipleItemSelectionAllowed="1" showAll="0">
      <items>
        <item x="0"/>
        <item x="1"/>
        <item x="2"/>
        <item x="3"/>
        <item t="default"/>
      </items>
    </pivotField>
    <pivotField name="Estimation Accuracy Rate&#10; (C1)%&#10;( Total Actual Effort / Total Estimated Effort ) * 100" compact="0" numFmtId="2" outline="0" multipleItemSelectionAllowed="1" showAll="0">
      <items>
        <item x="0"/>
        <item x="1"/>
        <item x="2"/>
        <item x="3"/>
        <item x="4"/>
        <item x="5"/>
        <item x="6"/>
        <item x="7"/>
        <item x="8"/>
        <item x="9"/>
        <item x="10"/>
        <item x="11"/>
        <item x="12"/>
        <item x="13"/>
        <item x="14"/>
        <item t="default"/>
      </items>
    </pivotField>
    <pivotField name="Bug Handling Cost Rate &#10;(C2)%&#10;( Total Bug Handling Effort / Total Actual Effort ) * 100 " compact="0" numFmtId="2" outline="0" multipleItemSelectionAllowed="1" showAll="0">
      <items>
        <item x="0"/>
        <item x="1"/>
        <item x="2"/>
        <item x="3"/>
        <item x="4"/>
        <item x="5"/>
        <item x="6"/>
        <item x="7"/>
        <item x="8"/>
        <item x="9"/>
        <item t="default"/>
      </items>
    </pivotField>
    <pivotField name="Issue Closed Ratio &#10;(M1)%&#10;(Closed Issue Count / All Issue Count)*100" compact="0" numFmtId="2" outline="0" multipleItemSelectionAllowed="1" showAll="0">
      <items>
        <item x="0"/>
        <item x="1"/>
        <item x="2"/>
        <item x="3"/>
        <item x="4"/>
        <item x="5"/>
        <item x="6"/>
        <item x="7"/>
        <item t="default"/>
      </items>
    </pivotField>
    <pivotField name="Note" compact="0" outline="0" multipleItemSelectionAllowed="1" showAll="0">
      <items>
        <item x="0"/>
        <item x="1"/>
        <item x="2"/>
        <item x="3"/>
        <item t="default"/>
      </items>
    </pivotField>
  </pivotFields>
  <rowFields>
    <field x="0"/>
  </rowFields>
  <dataFields>
    <dataField name="AVERAGE of QA Bug Proportion (Q1) #/Mh" fld="3" subtotal="average" baseField="0"/>
  </dataFields>
</pivotTableDefinition>
</file>

<file path=xl/pivotTables/pivotTable2.xml><?xml version="1.0" encoding="utf-8"?>
<pivotTableDefinition xmlns="http://schemas.openxmlformats.org/spreadsheetml/2006/main" name="5.1 Chart_By Sprint 2" cacheId="0" dataCaption="" compact="0" compactData="0">
  <location ref="A28:B47" firstHeaderRow="0" firstDataRow="1" firstDataCol="0"/>
  <pivotFields>
    <pivotField name="Sprint" axis="axisRow" compact="0" outline="0" multipleItemSelectionAllowed="1" showAll="0" sortType="ascending">
      <items>
        <item x="0"/>
        <item x="1"/>
        <item x="2"/>
        <item x="3"/>
        <item x="4"/>
        <item x="5"/>
        <item x="6"/>
        <item x="7"/>
        <item x="8"/>
        <item x="9"/>
        <item x="10"/>
        <item x="11"/>
        <item x="12"/>
        <item x="13"/>
        <item x="14"/>
        <item x="15"/>
        <item x="16"/>
        <item x="17"/>
        <item t="default"/>
      </items>
    </pivotField>
    <pivotField name="Start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End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QA Bug Proportion&#10; (Q1) #/Mh&#10;Internal Bug Count&#10;/ Total Actual Effort [MH]" compact="0" numFmtId="2" outline="0" multipleItemSelectionAllowed="1" showAll="0">
      <items>
        <item x="0"/>
        <item x="1"/>
        <item x="2"/>
        <item x="3"/>
        <item x="4"/>
        <item x="5"/>
        <item x="6"/>
        <item x="7"/>
        <item x="8"/>
        <item x="9"/>
        <item x="10"/>
        <item t="default"/>
      </items>
    </pivotField>
    <pivotField name="UAT Bug Rate &#10;(Q2)%&#10;( UAT Bug Count/ All Bug Count ) * 100" dataField="1" compact="0" outline="0" multipleItemSelectionAllowed="1" showAll="0">
      <items>
        <item x="0"/>
        <item x="1"/>
        <item x="2"/>
        <item x="3"/>
        <item t="default"/>
      </items>
    </pivotField>
    <pivotField name="Estimation Accuracy Rate&#10; (C1)%&#10;( Total Actual Effort / Total Estimated Effort ) * 100" compact="0" numFmtId="2" outline="0" multipleItemSelectionAllowed="1" showAll="0">
      <items>
        <item x="0"/>
        <item x="1"/>
        <item x="2"/>
        <item x="3"/>
        <item x="4"/>
        <item x="5"/>
        <item x="6"/>
        <item x="7"/>
        <item x="8"/>
        <item x="9"/>
        <item x="10"/>
        <item x="11"/>
        <item x="12"/>
        <item x="13"/>
        <item x="14"/>
        <item t="default"/>
      </items>
    </pivotField>
    <pivotField name="Bug Handling Cost Rate &#10;(C2)%&#10;( Total Bug Handling Effort / Total Actual Effort ) * 100 " compact="0" numFmtId="2" outline="0" multipleItemSelectionAllowed="1" showAll="0">
      <items>
        <item x="0"/>
        <item x="1"/>
        <item x="2"/>
        <item x="3"/>
        <item x="4"/>
        <item x="5"/>
        <item x="6"/>
        <item x="7"/>
        <item x="8"/>
        <item x="9"/>
        <item t="default"/>
      </items>
    </pivotField>
    <pivotField name="Issue Closed Ratio &#10;(M1)%&#10;(Closed Issue Count / All Issue Count)*100" compact="0" numFmtId="2" outline="0" multipleItemSelectionAllowed="1" showAll="0">
      <items>
        <item x="0"/>
        <item x="1"/>
        <item x="2"/>
        <item x="3"/>
        <item x="4"/>
        <item x="5"/>
        <item x="6"/>
        <item x="7"/>
        <item t="default"/>
      </items>
    </pivotField>
    <pivotField name="Note" compact="0" outline="0" multipleItemSelectionAllowed="1" showAll="0">
      <items>
        <item x="0"/>
        <item x="1"/>
        <item x="2"/>
        <item x="3"/>
        <item t="default"/>
      </items>
    </pivotField>
  </pivotFields>
  <rowFields>
    <field x="0"/>
  </rowFields>
  <dataFields>
    <dataField name="AVERAGE of UAT Bug Rate (Q2) %" fld="4" subtotal="average" baseField="0"/>
  </dataFields>
</pivotTableDefinition>
</file>

<file path=xl/pivotTables/pivotTable3.xml><?xml version="1.0" encoding="utf-8"?>
<pivotTableDefinition xmlns="http://schemas.openxmlformats.org/spreadsheetml/2006/main" name="5.1 Chart_By Sprint 3" cacheId="0" dataCaption="" compact="0" compactData="0">
  <location ref="A49:B68" firstHeaderRow="0" firstDataRow="1" firstDataCol="0"/>
  <pivotFields>
    <pivotField name="Sprint" axis="axisRow" compact="0" outline="0" multipleItemSelectionAllowed="1" showAll="0" sortType="ascending">
      <items>
        <item x="0"/>
        <item x="1"/>
        <item x="2"/>
        <item x="3"/>
        <item x="4"/>
        <item x="5"/>
        <item x="6"/>
        <item x="7"/>
        <item x="8"/>
        <item x="9"/>
        <item x="10"/>
        <item x="11"/>
        <item x="12"/>
        <item x="13"/>
        <item x="14"/>
        <item x="15"/>
        <item x="16"/>
        <item x="17"/>
        <item t="default"/>
      </items>
    </pivotField>
    <pivotField name="Start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End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QA Bug Proportion&#10; (Q1) #/Mh&#10;Internal Bug Count&#10;/ Total Actual Effort [MH]" compact="0" numFmtId="2" outline="0" multipleItemSelectionAllowed="1" showAll="0">
      <items>
        <item x="0"/>
        <item x="1"/>
        <item x="2"/>
        <item x="3"/>
        <item x="4"/>
        <item x="5"/>
        <item x="6"/>
        <item x="7"/>
        <item x="8"/>
        <item x="9"/>
        <item x="10"/>
        <item t="default"/>
      </items>
    </pivotField>
    <pivotField name="UAT Bug Rate &#10;(Q2)%&#10;( UAT Bug Count/ All Bug Count ) * 100" compact="0" outline="0" multipleItemSelectionAllowed="1" showAll="0">
      <items>
        <item x="0"/>
        <item x="1"/>
        <item x="2"/>
        <item x="3"/>
        <item t="default"/>
      </items>
    </pivotField>
    <pivotField name="Estimation Accuracy Rate&#10; (C1)%&#10;( Total Actual Effort / Total Estimated Effort ) * 100" dataField="1" compact="0" numFmtId="2" outline="0" multipleItemSelectionAllowed="1" showAll="0">
      <items>
        <item x="0"/>
        <item x="1"/>
        <item x="2"/>
        <item x="3"/>
        <item x="4"/>
        <item x="5"/>
        <item x="6"/>
        <item x="7"/>
        <item x="8"/>
        <item x="9"/>
        <item x="10"/>
        <item x="11"/>
        <item x="12"/>
        <item x="13"/>
        <item x="14"/>
        <item t="default"/>
      </items>
    </pivotField>
    <pivotField name="Bug Handling Cost Rate &#10;(C2)%&#10;( Total Bug Handling Effort / Total Actual Effort ) * 100 " compact="0" numFmtId="2" outline="0" multipleItemSelectionAllowed="1" showAll="0">
      <items>
        <item x="0"/>
        <item x="1"/>
        <item x="2"/>
        <item x="3"/>
        <item x="4"/>
        <item x="5"/>
        <item x="6"/>
        <item x="7"/>
        <item x="8"/>
        <item x="9"/>
        <item t="default"/>
      </items>
    </pivotField>
    <pivotField name="Issue Closed Ratio &#10;(M1)%&#10;(Closed Issue Count / All Issue Count)*100" compact="0" numFmtId="2" outline="0" multipleItemSelectionAllowed="1" showAll="0">
      <items>
        <item x="0"/>
        <item x="1"/>
        <item x="2"/>
        <item x="3"/>
        <item x="4"/>
        <item x="5"/>
        <item x="6"/>
        <item x="7"/>
        <item t="default"/>
      </items>
    </pivotField>
    <pivotField name="Note" compact="0" outline="0" multipleItemSelectionAllowed="1" showAll="0">
      <items>
        <item x="0"/>
        <item x="1"/>
        <item x="2"/>
        <item x="3"/>
        <item t="default"/>
      </items>
    </pivotField>
  </pivotFields>
  <rowFields>
    <field x="0"/>
  </rowFields>
  <dataFields>
    <dataField name="AVERAGE of Estimation Accuracy Rate (C1) %" fld="5" subtotal="average" baseField="0"/>
  </dataFields>
</pivotTableDefinition>
</file>

<file path=xl/pivotTables/pivotTable4.xml><?xml version="1.0" encoding="utf-8"?>
<pivotTableDefinition xmlns="http://schemas.openxmlformats.org/spreadsheetml/2006/main" name="5.1 Chart_By Sprint 4" cacheId="0" dataCaption="" compact="0" compactData="0">
  <location ref="A72:B91" firstHeaderRow="0" firstDataRow="1" firstDataCol="0"/>
  <pivotFields>
    <pivotField name="Sprint" axis="axisRow" compact="0" outline="0" multipleItemSelectionAllowed="1" showAll="0" sortType="ascending">
      <items>
        <item x="0"/>
        <item x="1"/>
        <item x="2"/>
        <item x="3"/>
        <item x="4"/>
        <item x="5"/>
        <item x="6"/>
        <item x="7"/>
        <item x="8"/>
        <item x="9"/>
        <item x="10"/>
        <item x="11"/>
        <item x="12"/>
        <item x="13"/>
        <item x="14"/>
        <item x="15"/>
        <item x="16"/>
        <item x="17"/>
        <item t="default"/>
      </items>
    </pivotField>
    <pivotField name="Start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End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QA Bug Proportion&#10; (Q1) #/Mh&#10;Internal Bug Count&#10;/ Total Actual Effort [MH]" compact="0" numFmtId="2" outline="0" multipleItemSelectionAllowed="1" showAll="0">
      <items>
        <item x="0"/>
        <item x="1"/>
        <item x="2"/>
        <item x="3"/>
        <item x="4"/>
        <item x="5"/>
        <item x="6"/>
        <item x="7"/>
        <item x="8"/>
        <item x="9"/>
        <item x="10"/>
        <item t="default"/>
      </items>
    </pivotField>
    <pivotField name="UAT Bug Rate &#10;(Q2)%&#10;( UAT Bug Count/ All Bug Count ) * 100" compact="0" outline="0" multipleItemSelectionAllowed="1" showAll="0">
      <items>
        <item x="0"/>
        <item x="1"/>
        <item x="2"/>
        <item x="3"/>
        <item t="default"/>
      </items>
    </pivotField>
    <pivotField name="Estimation Accuracy Rate&#10; (C1)%&#10;( Total Actual Effort / Total Estimated Effort ) * 100" compact="0" numFmtId="2" outline="0" multipleItemSelectionAllowed="1" showAll="0">
      <items>
        <item x="0"/>
        <item x="1"/>
        <item x="2"/>
        <item x="3"/>
        <item x="4"/>
        <item x="5"/>
        <item x="6"/>
        <item x="7"/>
        <item x="8"/>
        <item x="9"/>
        <item x="10"/>
        <item x="11"/>
        <item x="12"/>
        <item x="13"/>
        <item x="14"/>
        <item t="default"/>
      </items>
    </pivotField>
    <pivotField name="Bug Handling Cost Rate &#10;(C2)%&#10;( Total Bug Handling Effort / Total Actual Effort ) * 100 " dataField="1" compact="0" numFmtId="2" outline="0" multipleItemSelectionAllowed="1" showAll="0">
      <items>
        <item x="0"/>
        <item x="1"/>
        <item x="2"/>
        <item x="3"/>
        <item x="4"/>
        <item x="5"/>
        <item x="6"/>
        <item x="7"/>
        <item x="8"/>
        <item x="9"/>
        <item t="default"/>
      </items>
    </pivotField>
    <pivotField name="Issue Closed Ratio &#10;(M1)%&#10;(Closed Issue Count / All Issue Count)*100" compact="0" numFmtId="2" outline="0" multipleItemSelectionAllowed="1" showAll="0">
      <items>
        <item x="0"/>
        <item x="1"/>
        <item x="2"/>
        <item x="3"/>
        <item x="4"/>
        <item x="5"/>
        <item x="6"/>
        <item x="7"/>
        <item t="default"/>
      </items>
    </pivotField>
    <pivotField name="Note" compact="0" outline="0" multipleItemSelectionAllowed="1" showAll="0">
      <items>
        <item x="0"/>
        <item x="1"/>
        <item x="2"/>
        <item x="3"/>
        <item t="default"/>
      </items>
    </pivotField>
  </pivotFields>
  <rowFields>
    <field x="0"/>
  </rowFields>
  <dataFields>
    <dataField name="AVERAGE of Bug Handling Cost Rate &#10;(C2)%" fld="6" subtotal="average" baseField="0"/>
  </dataFields>
</pivotTableDefinition>
</file>

<file path=xl/pivotTables/pivotTable5.xml><?xml version="1.0" encoding="utf-8"?>
<pivotTableDefinition xmlns="http://schemas.openxmlformats.org/spreadsheetml/2006/main" name="5.1 Chart_By Sprint 5" cacheId="0" dataCaption="" compact="0" compactData="0">
  <location ref="A94:B113" firstHeaderRow="0" firstDataRow="1" firstDataCol="0"/>
  <pivotFields>
    <pivotField name="Sprint" axis="axisRow" compact="0" outline="0" multipleItemSelectionAllowed="1" showAll="0" sortType="ascending">
      <items>
        <item x="0"/>
        <item x="1"/>
        <item x="2"/>
        <item x="3"/>
        <item x="4"/>
        <item x="5"/>
        <item x="6"/>
        <item x="7"/>
        <item x="8"/>
        <item x="9"/>
        <item x="10"/>
        <item x="11"/>
        <item x="12"/>
        <item x="13"/>
        <item x="14"/>
        <item x="15"/>
        <item x="16"/>
        <item x="17"/>
        <item t="default"/>
      </items>
    </pivotField>
    <pivotField name="Start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End phase" compact="0" numFmtId="164" outline="0" multipleItemSelectionAllowed="1" showAll="0">
      <items>
        <item x="0"/>
        <item x="1"/>
        <item x="2"/>
        <item x="3"/>
        <item x="4"/>
        <item x="5"/>
        <item x="6"/>
        <item x="7"/>
        <item x="8"/>
        <item x="9"/>
        <item x="10"/>
        <item x="11"/>
        <item x="12"/>
        <item x="13"/>
        <item x="14"/>
        <item x="15"/>
        <item x="16"/>
        <item x="17"/>
        <item t="default"/>
      </items>
    </pivotField>
    <pivotField name="QA Bug Proportion&#10; (Q1) #/Mh&#10;Internal Bug Count&#10;/ Total Actual Effort [MH]" compact="0" numFmtId="2" outline="0" multipleItemSelectionAllowed="1" showAll="0">
      <items>
        <item x="0"/>
        <item x="1"/>
        <item x="2"/>
        <item x="3"/>
        <item x="4"/>
        <item x="5"/>
        <item x="6"/>
        <item x="7"/>
        <item x="8"/>
        <item x="9"/>
        <item x="10"/>
        <item t="default"/>
      </items>
    </pivotField>
    <pivotField name="UAT Bug Rate &#10;(Q2)%&#10;( UAT Bug Count/ All Bug Count ) * 100" compact="0" outline="0" multipleItemSelectionAllowed="1" showAll="0">
      <items>
        <item x="0"/>
        <item x="1"/>
        <item x="2"/>
        <item x="3"/>
        <item t="default"/>
      </items>
    </pivotField>
    <pivotField name="Estimation Accuracy Rate&#10; (C1)%&#10;( Total Actual Effort / Total Estimated Effort ) * 100" compact="0" numFmtId="2" outline="0" multipleItemSelectionAllowed="1" showAll="0">
      <items>
        <item x="0"/>
        <item x="1"/>
        <item x="2"/>
        <item x="3"/>
        <item x="4"/>
        <item x="5"/>
        <item x="6"/>
        <item x="7"/>
        <item x="8"/>
        <item x="9"/>
        <item x="10"/>
        <item x="11"/>
        <item x="12"/>
        <item x="13"/>
        <item x="14"/>
        <item t="default"/>
      </items>
    </pivotField>
    <pivotField name="Bug Handling Cost Rate &#10;(C2)%&#10;( Total Bug Handling Effort / Total Actual Effort ) * 100 " compact="0" numFmtId="2" outline="0" multipleItemSelectionAllowed="1" showAll="0">
      <items>
        <item x="0"/>
        <item x="1"/>
        <item x="2"/>
        <item x="3"/>
        <item x="4"/>
        <item x="5"/>
        <item x="6"/>
        <item x="7"/>
        <item x="8"/>
        <item x="9"/>
        <item t="default"/>
      </items>
    </pivotField>
    <pivotField name="Issue Closed Ratio &#10;(M1)%&#10;(Closed Issue Count / All Issue Count)*100" compact="0" numFmtId="2" outline="0" multipleItemSelectionAllowed="1" showAll="0">
      <items>
        <item x="0"/>
        <item x="1"/>
        <item x="2"/>
        <item x="3"/>
        <item x="4"/>
        <item x="5"/>
        <item x="6"/>
        <item x="7"/>
        <item t="default"/>
      </items>
    </pivotField>
    <pivotField name="Note" compact="0" outline="0" multipleItemSelectionAllowed="1" showAll="0">
      <items>
        <item x="0"/>
        <item x="1"/>
        <item x="2"/>
        <item x="3"/>
        <item t="default"/>
      </items>
    </pivotField>
  </pivotFields>
  <rowFields>
    <field x="0"/>
  </rowFields>
</pivotTableDefinition>
</file>

<file path=xl/pivotTables/pivotTable6.xml><?xml version="1.0" encoding="utf-8"?>
<pivotTableDefinition xmlns="http://schemas.openxmlformats.org/spreadsheetml/2006/main" name="5.1 Chart_By Sprint 6" cacheId="1" dataCaption="" compact="0" compactData="0">
  <location ref="A118:B158" firstHeaderRow="0" firstDataRow="1" firstDataCol="0"/>
  <pivotFields>
    <pivotField name="Sprint"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tart phas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End phas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QA Bug Proportion&#10; (Q1) #/Mh&#10;Internal Bug Count&#10;/ Total Actual Effort [MH]" compact="0" outline="0" multipleItemSelectionAllowed="1" showAll="0">
      <items>
        <item x="0"/>
        <item x="1"/>
        <item x="2"/>
        <item x="3"/>
        <item x="4"/>
        <item x="5"/>
        <item x="6"/>
        <item x="7"/>
        <item x="8"/>
        <item x="9"/>
        <item x="10"/>
        <item x="11"/>
        <item x="12"/>
        <item x="13"/>
        <item x="14"/>
        <item x="15"/>
        <item x="16"/>
        <item x="17"/>
        <item x="18"/>
        <item t="default"/>
      </items>
    </pivotField>
    <pivotField name="UAT Bug Rate &#10;(Q2)%&#10;( UAT Bug Count/ All Bug Count ) * 100" compact="0" outline="0" multipleItemSelectionAllowed="1" showAll="0">
      <items>
        <item x="0"/>
        <item x="1"/>
        <item x="2"/>
        <item x="3"/>
        <item t="default"/>
      </items>
    </pivotField>
    <pivotField name="Estimation Accuracy Rate&#10; (C1)%&#10;( Total Actual Effort / Total Estimated Effort ) * 10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ug Handling Cost Rate &#10;(C2)%&#10;( Total Bug Handling Effort / Total Actual Effort ) * 100 " compact="0" outline="0" multipleItemSelectionAllowed="1" showAll="0">
      <items>
        <item x="0"/>
        <item x="1"/>
        <item x="2"/>
        <item x="3"/>
        <item x="4"/>
        <item x="5"/>
        <item x="6"/>
        <item x="7"/>
        <item x="8"/>
        <item x="9"/>
        <item x="10"/>
        <item x="11"/>
        <item x="12"/>
        <item x="13"/>
        <item x="14"/>
        <item x="15"/>
        <item x="16"/>
        <item x="17"/>
        <item t="default"/>
      </items>
    </pivotField>
    <pivotField name="Issue Closed Ratio &#10;(M1)%&#10;(Closed Issue Count / All Issue Count)*100" dataField="1" compact="0" outline="0" multipleItemSelectionAllowed="1" showAll="0">
      <items>
        <item x="0"/>
        <item x="1"/>
        <item x="2"/>
        <item x="3"/>
        <item x="4"/>
        <item x="5"/>
        <item x="6"/>
        <item x="7"/>
        <item x="8"/>
        <item x="9"/>
        <item x="10"/>
        <item x="11"/>
        <item x="12"/>
        <item t="default"/>
      </items>
    </pivotField>
  </pivotFields>
  <rowFields>
    <field x="0"/>
  </rowFields>
  <dataFields>
    <dataField name="AVERAGE of Issue Closed Ratio &#10;(M1)%" fld="7" subtotal="average" baseField="0"/>
  </dataFields>
</pivotTableDefinition>
</file>

<file path=xl/pivotTables/pivotTable7.xml><?xml version="1.0" encoding="utf-8"?>
<pivotTableDefinition xmlns="http://schemas.openxmlformats.org/spreadsheetml/2006/main" name="5.2 Chart_By Phase" cacheId="2" dataCaption="" rowGrandTotals="0" compact="0" compactData="0">
  <location ref="A7:B13" firstHeaderRow="0" firstDataRow="1" firstDataCol="0"/>
  <pivotFields>
    <pivotField name="Phase" axis="axisRow" compact="0" outline="0" multipleItemSelectionAllowed="1" showAll="0" sortType="ascending">
      <items>
        <item x="2"/>
        <item x="0"/>
        <item x="1"/>
        <item x="3"/>
        <item x="4"/>
        <item x="5"/>
        <item t="default"/>
      </items>
    </pivotField>
    <pivotField name="Sprint/ 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Start date" compact="0" numFmtId="14" outline="0" multipleItemSelectionAllowed="1" showAll="0">
      <items>
        <item x="0"/>
        <item x="1"/>
        <item x="2"/>
        <item x="3"/>
        <item x="4"/>
        <item x="5"/>
        <item t="default"/>
      </items>
    </pivotField>
    <pivotField name="End date" compact="0" numFmtId="14" outline="0" multipleItemSelectionAllowed="1" showAll="0">
      <items>
        <item x="0"/>
        <item x="1"/>
        <item x="2"/>
        <item x="3"/>
        <item x="4"/>
        <item x="5"/>
        <item t="default"/>
      </items>
    </pivotField>
    <pivotField name="QA Bug Proportion &#10;(Q1) #/Mh&#10;Internal Bug Count&#10;/ Total Actual Effort [MH]" dataField="1" compact="0" outline="0" multipleItemSelectionAllowed="1" showAll="0">
      <items>
        <item x="0"/>
        <item x="1"/>
        <item x="2"/>
        <item x="3"/>
        <item x="4"/>
        <item x="5"/>
        <item t="default"/>
      </items>
    </pivotField>
    <pivotField name="UAT Bug Rate &#10;(Q2)%&#10;( UAT Bug Count/ All Bug Count ) * 100" compact="0" outline="0" multipleItemSelectionAllowed="1" showAll="0">
      <items>
        <item x="0"/>
        <item x="1"/>
        <item x="2"/>
        <item x="3"/>
        <item t="default"/>
      </items>
    </pivotField>
    <pivotField name="Estimation Accuracy Rate &#10;(C1)%&#10;( Total Actual Effort / Total Estimated Effort ) * 100" compact="0" outline="0" multipleItemSelectionAllowed="1" showAll="0">
      <items>
        <item x="0"/>
        <item x="1"/>
        <item x="2"/>
        <item x="3"/>
        <item x="4"/>
        <item x="5"/>
        <item t="default"/>
      </items>
    </pivotField>
    <pivotField name="Bug Handling Cost Rate &#10;(C2)%&#10;( Total Bug Handling Effort / Total Actual Effort ) * 100 " compact="0" outline="0" multipleItemSelectionAllowed="1" showAll="0">
      <items>
        <item x="0"/>
        <item x="1"/>
        <item x="2"/>
        <item x="3"/>
        <item x="4"/>
        <item x="5"/>
        <item t="default"/>
      </items>
    </pivotField>
    <pivotField name="Issue Closed Ratio &#10;(M1)%&#10;(Closed Issue Count / All Issue Count)*100" compact="0" outline="0" multipleItemSelectionAllowed="1" showAll="0">
      <items>
        <item x="0"/>
        <item x="1"/>
        <item x="2"/>
        <item x="3"/>
        <item x="4"/>
        <item x="5"/>
        <item t="default"/>
      </items>
    </pivotField>
  </pivotFields>
  <rowFields>
    <field x="0"/>
  </rowFields>
  <dataFields>
    <dataField name="QA Bug Proportion (Q1) #/Mh &#10;&#10;&#10;Internal Bug Count&#10;/ Total Actual Effort [MH]" fld="4" baseField="0"/>
  </dataFields>
</pivotTableDefinition>
</file>

<file path=xl/pivotTables/pivotTable8.xml><?xml version="1.0" encoding="utf-8"?>
<pivotTableDefinition xmlns="http://schemas.openxmlformats.org/spreadsheetml/2006/main" name="5.2 Chart_By Phase 2" cacheId="2" dataCaption="" rowGrandTotals="0" compact="0" compactData="0">
  <location ref="A21:B27" firstHeaderRow="0" firstDataRow="1" firstDataCol="0"/>
  <pivotFields>
    <pivotField name="Phase" axis="axisRow" compact="0" outline="0" multipleItemSelectionAllowed="1" showAll="0" sortType="ascending">
      <items>
        <item x="2"/>
        <item x="0"/>
        <item x="1"/>
        <item x="3"/>
        <item x="4"/>
        <item x="5"/>
        <item t="default"/>
      </items>
    </pivotField>
    <pivotField name="Sprint/ 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Start date" compact="0" numFmtId="14" outline="0" multipleItemSelectionAllowed="1" showAll="0">
      <items>
        <item x="0"/>
        <item x="1"/>
        <item x="2"/>
        <item x="3"/>
        <item x="4"/>
        <item x="5"/>
        <item t="default"/>
      </items>
    </pivotField>
    <pivotField name="End date" compact="0" numFmtId="14" outline="0" multipleItemSelectionAllowed="1" showAll="0">
      <items>
        <item x="0"/>
        <item x="1"/>
        <item x="2"/>
        <item x="3"/>
        <item x="4"/>
        <item x="5"/>
        <item t="default"/>
      </items>
    </pivotField>
    <pivotField name="QA Bug Proportion &#10;(Q1) #/Mh&#10;Internal Bug Count&#10;/ Total Actual Effort [MH]" compact="0" outline="0" multipleItemSelectionAllowed="1" showAll="0">
      <items>
        <item x="0"/>
        <item x="1"/>
        <item x="2"/>
        <item x="3"/>
        <item x="4"/>
        <item x="5"/>
        <item t="default"/>
      </items>
    </pivotField>
    <pivotField name="UAT Bug Rate &#10;(Q2)%&#10;( UAT Bug Count/ All Bug Count ) * 100" dataField="1" compact="0" outline="0" multipleItemSelectionAllowed="1" showAll="0">
      <items>
        <item x="0"/>
        <item x="1"/>
        <item x="2"/>
        <item x="3"/>
        <item t="default"/>
      </items>
    </pivotField>
    <pivotField name="Estimation Accuracy Rate &#10;(C1)%&#10;( Total Actual Effort / Total Estimated Effort ) * 100" compact="0" outline="0" multipleItemSelectionAllowed="1" showAll="0">
      <items>
        <item x="0"/>
        <item x="1"/>
        <item x="2"/>
        <item x="3"/>
        <item x="4"/>
        <item x="5"/>
        <item t="default"/>
      </items>
    </pivotField>
    <pivotField name="Bug Handling Cost Rate &#10;(C2)%&#10;( Total Bug Handling Effort / Total Actual Effort ) * 100 " compact="0" outline="0" multipleItemSelectionAllowed="1" showAll="0">
      <items>
        <item x="0"/>
        <item x="1"/>
        <item x="2"/>
        <item x="3"/>
        <item x="4"/>
        <item x="5"/>
        <item t="default"/>
      </items>
    </pivotField>
    <pivotField name="Issue Closed Ratio &#10;(M1)%&#10;(Closed Issue Count / All Issue Count)*100" compact="0" outline="0" multipleItemSelectionAllowed="1" showAll="0">
      <items>
        <item x="0"/>
        <item x="1"/>
        <item x="2"/>
        <item x="3"/>
        <item x="4"/>
        <item x="5"/>
        <item t="default"/>
      </items>
    </pivotField>
  </pivotFields>
  <rowFields>
    <field x="0"/>
  </rowFields>
  <dataFields>
    <dataField name="SUM of UAT Bug Rate &#10;(Q2)%&#10;( UAT Bug Count/ All Bug Count ) * 100" fld="5" baseField="0"/>
  </dataFields>
</pivotTableDefinition>
</file>

<file path=xl/pivotTables/pivotTable9.xml><?xml version="1.0" encoding="utf-8"?>
<pivotTableDefinition xmlns="http://schemas.openxmlformats.org/spreadsheetml/2006/main" name="5.2 Chart_By Phase 3" cacheId="2" dataCaption="" rowGrandTotals="0" compact="0" compactData="0">
  <location ref="A38:B44" firstHeaderRow="0" firstDataRow="1" firstDataCol="0"/>
  <pivotFields>
    <pivotField name="Phase" axis="axisRow" compact="0" outline="0" multipleItemSelectionAllowed="1" showAll="0" sortType="ascending">
      <items>
        <item x="2"/>
        <item x="0"/>
        <item x="1"/>
        <item x="3"/>
        <item x="4"/>
        <item x="5"/>
        <item t="default"/>
      </items>
    </pivotField>
    <pivotField name="Sprint/ 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Start date" compact="0" numFmtId="14" outline="0" multipleItemSelectionAllowed="1" showAll="0">
      <items>
        <item x="0"/>
        <item x="1"/>
        <item x="2"/>
        <item x="3"/>
        <item x="4"/>
        <item x="5"/>
        <item t="default"/>
      </items>
    </pivotField>
    <pivotField name="End date" compact="0" numFmtId="14" outline="0" multipleItemSelectionAllowed="1" showAll="0">
      <items>
        <item x="0"/>
        <item x="1"/>
        <item x="2"/>
        <item x="3"/>
        <item x="4"/>
        <item x="5"/>
        <item t="default"/>
      </items>
    </pivotField>
    <pivotField name="QA Bug Proportion &#10;(Q1) #/Mh&#10;Internal Bug Count&#10;/ Total Actual Effort [MH]" compact="0" outline="0" multipleItemSelectionAllowed="1" showAll="0">
      <items>
        <item x="0"/>
        <item x="1"/>
        <item x="2"/>
        <item x="3"/>
        <item x="4"/>
        <item x="5"/>
        <item t="default"/>
      </items>
    </pivotField>
    <pivotField name="UAT Bug Rate &#10;(Q2)%&#10;( UAT Bug Count/ All Bug Count ) * 100" compact="0" outline="0" multipleItemSelectionAllowed="1" showAll="0">
      <items>
        <item x="0"/>
        <item x="1"/>
        <item x="2"/>
        <item x="3"/>
        <item t="default"/>
      </items>
    </pivotField>
    <pivotField name="Estimation Accuracy Rate &#10;(C1)%&#10;( Total Actual Effort / Total Estimated Effort ) * 100" dataField="1" compact="0" outline="0" multipleItemSelectionAllowed="1" showAll="0">
      <items>
        <item x="0"/>
        <item x="1"/>
        <item x="2"/>
        <item x="3"/>
        <item x="4"/>
        <item x="5"/>
        <item t="default"/>
      </items>
    </pivotField>
    <pivotField name="Bug Handling Cost Rate &#10;(C2)%&#10;( Total Bug Handling Effort / Total Actual Effort ) * 100 " compact="0" outline="0" multipleItemSelectionAllowed="1" showAll="0">
      <items>
        <item x="0"/>
        <item x="1"/>
        <item x="2"/>
        <item x="3"/>
        <item x="4"/>
        <item x="5"/>
        <item t="default"/>
      </items>
    </pivotField>
    <pivotField name="Issue Closed Ratio &#10;(M1)%&#10;(Closed Issue Count / All Issue Count)*100" compact="0" outline="0" multipleItemSelectionAllowed="1" showAll="0">
      <items>
        <item x="0"/>
        <item x="1"/>
        <item x="2"/>
        <item x="3"/>
        <item x="4"/>
        <item x="5"/>
        <item t="default"/>
      </items>
    </pivotField>
  </pivotFields>
  <rowFields>
    <field x="0"/>
  </rowFields>
  <dataFields>
    <dataField name="SUM of Estimation Accuracy Rate &#10;(C1)%&#10;( Total Actual Effort / Total Estimated Effort ) * 100" fld="6" baseField="0"/>
  </dataFields>
</pivotTableDefinition>
</file>

<file path=xl/pivotTables/pivotTable10.xml><?xml version="1.0" encoding="utf-8"?>
<pivotTableDefinition xmlns="http://schemas.openxmlformats.org/spreadsheetml/2006/main" name="5.2 Chart_By Phase 4" cacheId="2" dataCaption="" rowGrandTotals="0" compact="0" compactData="0">
  <location ref="A56:B62" firstHeaderRow="0" firstDataRow="1" firstDataCol="0"/>
  <pivotFields>
    <pivotField name="Phase" axis="axisRow" compact="0" outline="0" multipleItemSelectionAllowed="1" showAll="0" sortType="ascending">
      <items>
        <item x="2"/>
        <item x="0"/>
        <item x="1"/>
        <item x="3"/>
        <item x="4"/>
        <item x="5"/>
        <item t="default"/>
      </items>
    </pivotField>
    <pivotField name="Sprint/ 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Start date" compact="0" numFmtId="14" outline="0" multipleItemSelectionAllowed="1" showAll="0">
      <items>
        <item x="0"/>
        <item x="1"/>
        <item x="2"/>
        <item x="3"/>
        <item x="4"/>
        <item x="5"/>
        <item t="default"/>
      </items>
    </pivotField>
    <pivotField name="End date" compact="0" numFmtId="14" outline="0" multipleItemSelectionAllowed="1" showAll="0">
      <items>
        <item x="0"/>
        <item x="1"/>
        <item x="2"/>
        <item x="3"/>
        <item x="4"/>
        <item x="5"/>
        <item t="default"/>
      </items>
    </pivotField>
    <pivotField name="QA Bug Proportion &#10;(Q1) #/Mh&#10;Internal Bug Count&#10;/ Total Actual Effort [MH]" compact="0" outline="0" multipleItemSelectionAllowed="1" showAll="0">
      <items>
        <item x="0"/>
        <item x="1"/>
        <item x="2"/>
        <item x="3"/>
        <item x="4"/>
        <item x="5"/>
        <item t="default"/>
      </items>
    </pivotField>
    <pivotField name="UAT Bug Rate &#10;(Q2)%&#10;( UAT Bug Count/ All Bug Count ) * 100" compact="0" outline="0" multipleItemSelectionAllowed="1" showAll="0">
      <items>
        <item x="0"/>
        <item x="1"/>
        <item x="2"/>
        <item x="3"/>
        <item t="default"/>
      </items>
    </pivotField>
    <pivotField name="Estimation Accuracy Rate &#10;(C1)%&#10;( Total Actual Effort / Total Estimated Effort ) * 100" compact="0" outline="0" multipleItemSelectionAllowed="1" showAll="0">
      <items>
        <item x="0"/>
        <item x="1"/>
        <item x="2"/>
        <item x="3"/>
        <item x="4"/>
        <item x="5"/>
        <item t="default"/>
      </items>
    </pivotField>
    <pivotField name="Bug Handling Cost Rate &#10;(C2)%&#10;( Total Bug Handling Effort / Total Actual Effort ) * 100 " dataField="1" compact="0" outline="0" multipleItemSelectionAllowed="1" showAll="0">
      <items>
        <item x="0"/>
        <item x="1"/>
        <item x="2"/>
        <item x="3"/>
        <item x="4"/>
        <item x="5"/>
        <item t="default"/>
      </items>
    </pivotField>
    <pivotField name="Issue Closed Ratio &#10;(M1)%&#10;(Closed Issue Count / All Issue Count)*100" compact="0" outline="0" multipleItemSelectionAllowed="1" showAll="0">
      <items>
        <item x="0"/>
        <item x="1"/>
        <item x="2"/>
        <item x="3"/>
        <item x="4"/>
        <item x="5"/>
        <item t="default"/>
      </items>
    </pivotField>
  </pivotFields>
  <rowFields>
    <field x="0"/>
  </rowFields>
  <dataFields>
    <dataField name="SUM of Bug Handling Cost Rate &#10;(C2)%&#10;( Total Bug Handling Effort / Total Actual Effort ) * 100 " fld="7" baseField="0"/>
  </dataFields>
</pivotTableDefinition>
</file>

<file path=xl/pivotTables/pivotTable11.xml><?xml version="1.0" encoding="utf-8"?>
<pivotTableDefinition xmlns="http://schemas.openxmlformats.org/spreadsheetml/2006/main" name="5.2 Chart_By Phase 5" cacheId="2" dataCaption="" rowGrandTotals="0" compact="0" compactData="0">
  <location ref="A71:B77" firstHeaderRow="0" firstDataRow="1" firstDataCol="0"/>
  <pivotFields>
    <pivotField name="Phase" axis="axisRow" compact="0" outline="0" multipleItemSelectionAllowed="1" showAll="0" sortType="ascending">
      <items>
        <item x="2"/>
        <item x="0"/>
        <item x="1"/>
        <item x="3"/>
        <item x="4"/>
        <item x="5"/>
        <item t="default"/>
      </items>
    </pivotField>
    <pivotField name="Sprint/ 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Start date" compact="0" numFmtId="14" outline="0" multipleItemSelectionAllowed="1" showAll="0">
      <items>
        <item x="0"/>
        <item x="1"/>
        <item x="2"/>
        <item x="3"/>
        <item x="4"/>
        <item x="5"/>
        <item t="default"/>
      </items>
    </pivotField>
    <pivotField name="End date" compact="0" numFmtId="14" outline="0" multipleItemSelectionAllowed="1" showAll="0">
      <items>
        <item x="0"/>
        <item x="1"/>
        <item x="2"/>
        <item x="3"/>
        <item x="4"/>
        <item x="5"/>
        <item t="default"/>
      </items>
    </pivotField>
    <pivotField name="QA Bug Proportion &#10;(Q1) #/Mh&#10;Internal Bug Count&#10;/ Total Actual Effort [MH]" compact="0" outline="0" multipleItemSelectionAllowed="1" showAll="0">
      <items>
        <item x="0"/>
        <item x="1"/>
        <item x="2"/>
        <item x="3"/>
        <item x="4"/>
        <item x="5"/>
        <item t="default"/>
      </items>
    </pivotField>
    <pivotField name="UAT Bug Rate &#10;(Q2)%&#10;( UAT Bug Count/ All Bug Count ) * 100" compact="0" outline="0" multipleItemSelectionAllowed="1" showAll="0">
      <items>
        <item x="0"/>
        <item x="1"/>
        <item x="2"/>
        <item x="3"/>
        <item t="default"/>
      </items>
    </pivotField>
    <pivotField name="Estimation Accuracy Rate &#10;(C1)%&#10;( Total Actual Effort / Total Estimated Effort ) * 100" compact="0" outline="0" multipleItemSelectionAllowed="1" showAll="0">
      <items>
        <item x="0"/>
        <item x="1"/>
        <item x="2"/>
        <item x="3"/>
        <item x="4"/>
        <item x="5"/>
        <item t="default"/>
      </items>
    </pivotField>
    <pivotField name="Bug Handling Cost Rate &#10;(C2)%&#10;( Total Bug Handling Effort / Total Actual Effort ) * 100 " compact="0" outline="0" multipleItemSelectionAllowed="1" showAll="0">
      <items>
        <item x="0"/>
        <item x="1"/>
        <item x="2"/>
        <item x="3"/>
        <item x="4"/>
        <item x="5"/>
        <item t="default"/>
      </items>
    </pivotField>
    <pivotField name="Issue Closed Ratio &#10;(M1)%&#10;(Closed Issue Count / All Issue Count)*100" dataField="1" compact="0" outline="0" multipleItemSelectionAllowed="1" showAll="0">
      <items>
        <item x="0"/>
        <item x="1"/>
        <item x="2"/>
        <item x="3"/>
        <item x="4"/>
        <item x="5"/>
        <item t="default"/>
      </items>
    </pivotField>
  </pivotFields>
  <rowFields>
    <field x="0"/>
  </rowFields>
  <dataFields>
    <dataField name="SUM of Issue Closed Ratio &#10;(M1)%&#10;(Closed Issue Count / All Issue Count)*100" fld="8"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nfluence.sun-asterisk.com/display/PAOP/KPI+introductio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pivotTable" Target="../pivotTables/pivotTable9.xml"/><Relationship Id="rId4" Type="http://schemas.openxmlformats.org/officeDocument/2006/relationships/pivotTable" Target="../pivotTables/pivotTable10.xml"/><Relationship Id="rId5" Type="http://schemas.openxmlformats.org/officeDocument/2006/relationships/pivotTable" Target="../pivotTables/pivotTable11.xm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0"/>
  <cols>
    <col customWidth="1" min="1" max="1" width="5.75"/>
    <col customWidth="1" min="2" max="2" width="4.63"/>
    <col customWidth="1" min="3" max="3" width="6.38"/>
    <col customWidth="1" min="4" max="4" width="5.75"/>
    <col customWidth="1" min="5" max="8" width="9.75"/>
    <col customWidth="1" min="9" max="9" width="12.63"/>
    <col customWidth="1" min="10" max="10" width="13.75"/>
    <col customWidth="1" min="11" max="11" width="18.88"/>
  </cols>
  <sheetData>
    <row r="1" ht="22.5" customHeight="1">
      <c r="A1" s="8"/>
      <c r="B1" s="4"/>
      <c r="C1" s="4"/>
      <c r="D1" s="4"/>
      <c r="E1" s="2" t="s">
        <v>0</v>
      </c>
      <c r="F1" s="4"/>
      <c r="G1" s="4"/>
      <c r="H1" s="4"/>
      <c r="I1" s="10"/>
      <c r="J1" s="17" t="s">
        <v>1</v>
      </c>
      <c r="K1" s="19"/>
    </row>
    <row r="2" ht="22.5" customHeight="1">
      <c r="A2" s="9"/>
      <c r="E2" s="9"/>
      <c r="I2" s="3"/>
      <c r="J2" s="11" t="s">
        <v>2</v>
      </c>
      <c r="K2" s="13"/>
    </row>
    <row r="3" ht="22.5" customHeight="1">
      <c r="A3" s="9"/>
      <c r="E3" s="27"/>
      <c r="F3" s="30"/>
      <c r="G3" s="30"/>
      <c r="H3" s="30"/>
      <c r="I3" s="19"/>
      <c r="J3" s="11" t="s">
        <v>3</v>
      </c>
      <c r="K3" s="13"/>
    </row>
    <row r="4" ht="22.5" customHeight="1">
      <c r="A4" s="12" t="s">
        <v>4</v>
      </c>
      <c r="B4" s="15"/>
      <c r="C4" s="15"/>
      <c r="D4" s="15"/>
      <c r="E4" s="15"/>
      <c r="F4" s="15"/>
      <c r="G4" s="15"/>
      <c r="H4" s="15"/>
      <c r="I4" s="13"/>
      <c r="J4" s="45" t="s">
        <v>5</v>
      </c>
      <c r="K4" s="19"/>
    </row>
    <row r="5" ht="16.5" customHeight="1">
      <c r="A5" s="50"/>
      <c r="K5" s="51"/>
    </row>
    <row r="6" ht="31.5" customHeight="1">
      <c r="A6" s="53" t="s">
        <v>24</v>
      </c>
      <c r="K6" s="51"/>
    </row>
    <row r="7" ht="20.25" customHeight="1">
      <c r="A7" s="54" t="s">
        <v>31</v>
      </c>
      <c r="B7" s="57" t="s">
        <v>33</v>
      </c>
      <c r="C7" s="15"/>
      <c r="D7" s="13"/>
      <c r="E7" s="57" t="s">
        <v>38</v>
      </c>
      <c r="F7" s="15"/>
      <c r="G7" s="15"/>
      <c r="H7" s="15"/>
      <c r="I7" s="13"/>
      <c r="J7" s="57" t="s">
        <v>40</v>
      </c>
      <c r="K7" s="13"/>
    </row>
    <row r="8" ht="22.5" customHeight="1">
      <c r="A8" s="64">
        <v>1.0</v>
      </c>
      <c r="B8" s="67"/>
      <c r="C8" s="15"/>
      <c r="D8" s="13"/>
      <c r="E8" s="67" t="s">
        <v>46</v>
      </c>
      <c r="F8" s="15"/>
      <c r="G8" s="15"/>
      <c r="H8" s="15"/>
      <c r="I8" s="13"/>
      <c r="J8" s="67" t="s">
        <v>48</v>
      </c>
      <c r="K8" s="13"/>
    </row>
    <row r="9" ht="62.25" customHeight="1">
      <c r="A9" s="64">
        <v>2.0</v>
      </c>
      <c r="B9" s="67"/>
      <c r="C9" s="15"/>
      <c r="D9" s="13"/>
      <c r="E9" s="76" t="s">
        <v>52</v>
      </c>
      <c r="J9" s="67" t="s">
        <v>55</v>
      </c>
      <c r="K9" s="13"/>
    </row>
    <row r="10" ht="15.75" customHeight="1">
      <c r="A10" s="64">
        <v>3.0</v>
      </c>
      <c r="B10" s="81"/>
      <c r="C10" s="4"/>
      <c r="D10" s="10"/>
      <c r="E10" s="67" t="s">
        <v>61</v>
      </c>
      <c r="F10" s="15"/>
      <c r="G10" s="15"/>
      <c r="H10" s="15"/>
      <c r="I10" s="13"/>
      <c r="J10" s="98">
        <v>44395.0</v>
      </c>
      <c r="K10" s="13"/>
    </row>
    <row r="11" ht="22.5" customHeight="1">
      <c r="A11" s="64">
        <v>4.0</v>
      </c>
      <c r="B11" s="102"/>
      <c r="C11" s="15"/>
      <c r="D11" s="13"/>
      <c r="E11" s="105" t="s">
        <v>77</v>
      </c>
      <c r="F11" s="15"/>
      <c r="G11" s="15"/>
      <c r="H11" s="15"/>
      <c r="I11" s="13"/>
      <c r="J11" s="109">
        <v>44320.0</v>
      </c>
      <c r="K11" s="13"/>
    </row>
    <row r="12" ht="15.75" customHeight="1">
      <c r="A12" s="111">
        <v>5.0</v>
      </c>
      <c r="B12" s="102" t="s">
        <v>79</v>
      </c>
      <c r="C12" s="15"/>
      <c r="D12" s="13"/>
      <c r="E12" s="113" t="s">
        <v>80</v>
      </c>
      <c r="F12" s="15"/>
      <c r="G12" s="15"/>
      <c r="H12" s="15"/>
      <c r="I12" s="13"/>
      <c r="J12" s="115">
        <v>44508.0</v>
      </c>
      <c r="K12" s="13"/>
    </row>
    <row r="13" ht="15.75" customHeight="1">
      <c r="A13" s="111">
        <v>6.0</v>
      </c>
      <c r="B13" s="102" t="s">
        <v>83</v>
      </c>
      <c r="C13" s="15"/>
      <c r="D13" s="13"/>
      <c r="E13" s="118" t="s">
        <v>84</v>
      </c>
      <c r="F13" s="15"/>
      <c r="G13" s="15"/>
      <c r="H13" s="15"/>
      <c r="I13" s="13"/>
      <c r="J13" s="115">
        <v>44580.0</v>
      </c>
      <c r="K13" s="13"/>
    </row>
    <row r="14" ht="115.5" customHeight="1">
      <c r="A14" s="111">
        <v>7.0</v>
      </c>
      <c r="B14" s="102" t="s">
        <v>86</v>
      </c>
      <c r="C14" s="15"/>
      <c r="D14" s="13"/>
      <c r="E14" s="118" t="s">
        <v>88</v>
      </c>
      <c r="F14" s="15"/>
      <c r="G14" s="15"/>
      <c r="H14" s="15"/>
      <c r="I14" s="13"/>
      <c r="J14" s="115">
        <v>45614.0</v>
      </c>
      <c r="K14" s="13"/>
    </row>
    <row r="15" ht="15.75" customHeight="1">
      <c r="A15" s="122">
        <v>8.0</v>
      </c>
      <c r="B15" s="102"/>
      <c r="C15" s="15"/>
      <c r="D15" s="13"/>
      <c r="E15" s="133" t="s">
        <v>101</v>
      </c>
      <c r="F15" s="15"/>
      <c r="G15" s="15"/>
      <c r="H15" s="15"/>
      <c r="I15" s="13"/>
      <c r="J15" s="136" t="s">
        <v>102</v>
      </c>
      <c r="K15" s="13"/>
    </row>
    <row r="16" ht="15.75" customHeight="1">
      <c r="A16" s="139" t="s">
        <v>103</v>
      </c>
      <c r="B16" s="140" t="s">
        <v>104</v>
      </c>
      <c r="E16" s="141" t="s">
        <v>105</v>
      </c>
      <c r="J16" s="142" t="s">
        <v>106</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9">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1:D11"/>
    <mergeCell ref="E11:I11"/>
    <mergeCell ref="J11:K11"/>
    <mergeCell ref="B12:D12"/>
    <mergeCell ref="E12:I12"/>
    <mergeCell ref="J12:K12"/>
    <mergeCell ref="B13:D13"/>
    <mergeCell ref="E16:I16"/>
    <mergeCell ref="J16:K16"/>
    <mergeCell ref="B14:D14"/>
    <mergeCell ref="E14:I14"/>
    <mergeCell ref="J14:K14"/>
    <mergeCell ref="B15:D15"/>
    <mergeCell ref="E15:I15"/>
    <mergeCell ref="J15:K15"/>
    <mergeCell ref="B16:D16"/>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4.75"/>
    <col customWidth="1" min="2" max="2" width="26.0"/>
    <col customWidth="1" min="3" max="3" width="27.13"/>
    <col customWidth="1" min="4" max="4" width="12.63"/>
    <col customWidth="1" min="5" max="5" width="46.63"/>
    <col customWidth="1" min="6" max="6" width="32.75"/>
  </cols>
  <sheetData>
    <row r="1" ht="22.5" customHeight="1">
      <c r="A1" s="1"/>
      <c r="B1" s="3"/>
      <c r="C1" s="2" t="s">
        <v>0</v>
      </c>
      <c r="D1" s="4"/>
      <c r="E1" s="4"/>
      <c r="F1" s="6" t="s">
        <v>1</v>
      </c>
    </row>
    <row r="2" ht="22.5" customHeight="1">
      <c r="B2" s="3"/>
      <c r="C2" s="9"/>
      <c r="F2" s="6" t="s">
        <v>2</v>
      </c>
    </row>
    <row r="3" ht="22.5" customHeight="1">
      <c r="B3" s="3"/>
      <c r="C3" s="9"/>
      <c r="F3" s="6" t="s">
        <v>3</v>
      </c>
    </row>
    <row r="4" ht="15.75" customHeight="1">
      <c r="A4" s="12" t="s">
        <v>4</v>
      </c>
      <c r="B4" s="15"/>
      <c r="C4" s="15"/>
      <c r="D4" s="15"/>
      <c r="E4" s="15"/>
      <c r="F4" s="16" t="s">
        <v>5</v>
      </c>
    </row>
    <row r="5" ht="15.75" customHeight="1">
      <c r="A5" s="18"/>
      <c r="B5" s="20"/>
      <c r="C5" s="20"/>
      <c r="D5" s="20"/>
      <c r="E5" s="20"/>
      <c r="F5" s="20"/>
    </row>
    <row r="6" ht="15.75" customHeight="1">
      <c r="A6" s="21" t="s">
        <v>6</v>
      </c>
      <c r="B6" s="22" t="s">
        <v>7</v>
      </c>
      <c r="C6" s="24"/>
      <c r="D6" s="24"/>
      <c r="E6" s="24"/>
      <c r="F6" s="24"/>
    </row>
    <row r="7" ht="15.75" customHeight="1">
      <c r="A7" s="21" t="s">
        <v>8</v>
      </c>
      <c r="B7" s="28" t="s">
        <v>9</v>
      </c>
      <c r="C7" s="34"/>
      <c r="D7" s="34"/>
      <c r="E7" s="34"/>
      <c r="F7" s="34"/>
    </row>
    <row r="8" ht="15.75" customHeight="1">
      <c r="A8" s="21" t="s">
        <v>11</v>
      </c>
      <c r="B8" s="22" t="s">
        <v>12</v>
      </c>
      <c r="C8" s="24"/>
      <c r="D8" s="24"/>
      <c r="E8" s="24"/>
      <c r="F8" s="24"/>
    </row>
    <row r="9" ht="15.75" customHeight="1">
      <c r="A9" s="21"/>
      <c r="B9" s="28" t="s">
        <v>13</v>
      </c>
      <c r="C9" s="34"/>
      <c r="D9" s="34"/>
      <c r="E9" s="34"/>
      <c r="F9" s="34"/>
    </row>
    <row r="10" ht="15.75" customHeight="1">
      <c r="A10" s="21" t="s">
        <v>14</v>
      </c>
      <c r="B10" s="42" t="s">
        <v>15</v>
      </c>
      <c r="C10" s="34"/>
      <c r="D10" s="34"/>
      <c r="E10" s="34"/>
      <c r="F10" s="44"/>
    </row>
    <row r="11" ht="15.75" customHeight="1">
      <c r="A11" s="48" t="s">
        <v>18</v>
      </c>
      <c r="B11" s="61" t="s">
        <v>20</v>
      </c>
      <c r="C11" s="34"/>
      <c r="D11" s="34"/>
      <c r="E11" s="34"/>
      <c r="F11" s="34"/>
    </row>
    <row r="12" ht="15.75" customHeight="1">
      <c r="A12" s="48"/>
      <c r="B12" s="65"/>
      <c r="C12" s="34"/>
      <c r="D12" s="34"/>
      <c r="E12" s="34"/>
      <c r="F12" s="34"/>
    </row>
    <row r="13" ht="15.75" customHeight="1">
      <c r="A13" s="68" t="s">
        <v>44</v>
      </c>
      <c r="B13" s="71" t="s">
        <v>47</v>
      </c>
      <c r="C13" s="34"/>
      <c r="D13" s="34"/>
      <c r="E13" s="34"/>
      <c r="F13" s="34"/>
    </row>
    <row r="14" ht="15.75" customHeight="1">
      <c r="A14" s="75"/>
      <c r="B14" s="78"/>
      <c r="C14" s="78"/>
      <c r="D14" s="78"/>
      <c r="E14" s="78"/>
      <c r="F14" s="78"/>
    </row>
    <row r="15" ht="15.75" customHeight="1">
      <c r="A15" s="52" t="s">
        <v>56</v>
      </c>
      <c r="B15" s="52" t="s">
        <v>57</v>
      </c>
      <c r="C15" s="52" t="s">
        <v>58</v>
      </c>
      <c r="D15" s="52" t="s">
        <v>59</v>
      </c>
      <c r="E15" s="52" t="s">
        <v>60</v>
      </c>
      <c r="F15" s="52" t="s">
        <v>36</v>
      </c>
    </row>
    <row r="16" ht="144.0" customHeight="1">
      <c r="A16" s="83">
        <v>1.0</v>
      </c>
      <c r="B16" s="85" t="s">
        <v>62</v>
      </c>
      <c r="C16" s="87" t="s">
        <v>63</v>
      </c>
      <c r="D16" s="90" t="s">
        <v>64</v>
      </c>
      <c r="E16" s="90" t="s">
        <v>65</v>
      </c>
      <c r="F16" s="92"/>
    </row>
    <row r="17" ht="15.75" customHeight="1">
      <c r="A17" s="83">
        <v>2.0</v>
      </c>
      <c r="B17" s="95" t="s">
        <v>66</v>
      </c>
      <c r="C17" s="97" t="s">
        <v>67</v>
      </c>
      <c r="D17" s="90" t="s">
        <v>68</v>
      </c>
      <c r="E17" s="99" t="s">
        <v>69</v>
      </c>
      <c r="F17" s="92"/>
    </row>
    <row r="18" ht="15.75" customHeight="1">
      <c r="A18" s="83">
        <v>3.0</v>
      </c>
      <c r="B18" s="95" t="s">
        <v>70</v>
      </c>
      <c r="C18" s="87" t="s">
        <v>71</v>
      </c>
      <c r="D18" s="90" t="s">
        <v>68</v>
      </c>
      <c r="E18" s="90" t="s">
        <v>72</v>
      </c>
      <c r="F18" s="92"/>
    </row>
    <row r="19" ht="126.0" customHeight="1">
      <c r="A19" s="83">
        <v>4.0</v>
      </c>
      <c r="B19" s="95" t="s">
        <v>73</v>
      </c>
      <c r="C19" s="87" t="s">
        <v>74</v>
      </c>
      <c r="D19" s="90" t="s">
        <v>68</v>
      </c>
      <c r="E19" s="101" t="s">
        <v>75</v>
      </c>
      <c r="F19" s="92"/>
    </row>
    <row r="20" ht="45.75" customHeight="1">
      <c r="A20" s="103">
        <v>5.0</v>
      </c>
      <c r="B20" s="90" t="s">
        <v>76</v>
      </c>
      <c r="C20" s="97" t="s">
        <v>78</v>
      </c>
      <c r="D20" s="104" t="s">
        <v>68</v>
      </c>
      <c r="E20" s="104"/>
      <c r="F20" s="106"/>
    </row>
    <row r="21" ht="15.75" customHeight="1">
      <c r="A21" s="107"/>
      <c r="B21" s="108"/>
      <c r="C21" s="110"/>
      <c r="D21" s="108"/>
      <c r="E21" s="108"/>
      <c r="F21" s="108"/>
    </row>
    <row r="22" ht="7.5" customHeight="1">
      <c r="A22" s="107"/>
      <c r="B22" s="108"/>
      <c r="C22" s="110"/>
      <c r="D22" s="108"/>
      <c r="E22" s="108"/>
      <c r="F22" s="108"/>
    </row>
    <row r="23" ht="87.75" customHeight="1">
      <c r="A23" s="112" t="s">
        <v>18</v>
      </c>
      <c r="B23" s="114" t="s">
        <v>81</v>
      </c>
      <c r="C23" s="34"/>
      <c r="D23" s="34"/>
      <c r="E23" s="34"/>
      <c r="F23" s="44"/>
    </row>
    <row r="24" ht="15.75" customHeight="1">
      <c r="A24" s="112" t="s">
        <v>18</v>
      </c>
      <c r="B24" s="116" t="s">
        <v>82</v>
      </c>
      <c r="C24" s="34"/>
      <c r="D24" s="34"/>
      <c r="E24" s="34"/>
      <c r="F24" s="44"/>
    </row>
    <row r="25" ht="15.75" customHeight="1">
      <c r="A25" s="112" t="s">
        <v>18</v>
      </c>
      <c r="B25" s="114" t="s">
        <v>85</v>
      </c>
      <c r="C25" s="34"/>
      <c r="D25" s="34"/>
      <c r="E25" s="34"/>
      <c r="F25" s="44"/>
    </row>
    <row r="26" ht="15.75" customHeight="1">
      <c r="A26" s="112" t="s">
        <v>18</v>
      </c>
      <c r="B26" s="114" t="s">
        <v>87</v>
      </c>
      <c r="C26" s="34"/>
      <c r="D26" s="34"/>
      <c r="E26" s="34"/>
      <c r="F26" s="44"/>
    </row>
    <row r="27" ht="15.75" customHeight="1">
      <c r="A27" s="112"/>
      <c r="B27" s="123" t="s">
        <v>89</v>
      </c>
      <c r="C27" s="34"/>
      <c r="D27" s="34"/>
      <c r="E27" s="34"/>
      <c r="F27" s="44"/>
    </row>
    <row r="28" ht="15.75" customHeight="1">
      <c r="A28" s="125" t="s">
        <v>56</v>
      </c>
      <c r="B28" s="125" t="s">
        <v>90</v>
      </c>
      <c r="C28" s="125" t="s">
        <v>59</v>
      </c>
      <c r="D28" s="125" t="s">
        <v>91</v>
      </c>
      <c r="E28" s="125" t="s">
        <v>92</v>
      </c>
      <c r="F28" s="125" t="s">
        <v>93</v>
      </c>
    </row>
    <row r="29" ht="15.75" customHeight="1">
      <c r="A29" s="126">
        <v>1.0</v>
      </c>
      <c r="B29" s="128" t="s">
        <v>95</v>
      </c>
      <c r="C29" s="126" t="s">
        <v>96</v>
      </c>
      <c r="D29" s="126">
        <v>0.5</v>
      </c>
      <c r="E29" s="126">
        <v>0.05</v>
      </c>
      <c r="F29" s="126">
        <v>0.0</v>
      </c>
    </row>
    <row r="30" ht="15.75" customHeight="1">
      <c r="A30" s="126">
        <v>2.0</v>
      </c>
      <c r="B30" s="128" t="s">
        <v>97</v>
      </c>
      <c r="C30" s="126" t="s">
        <v>68</v>
      </c>
      <c r="D30" s="126">
        <v>20.0</v>
      </c>
      <c r="E30" s="126">
        <v>5.0</v>
      </c>
      <c r="F30" s="126">
        <v>0.0</v>
      </c>
    </row>
    <row r="31" ht="15.75" customHeight="1">
      <c r="A31" s="126">
        <v>3.0</v>
      </c>
      <c r="B31" s="128" t="s">
        <v>98</v>
      </c>
      <c r="C31" s="126" t="s">
        <v>68</v>
      </c>
      <c r="D31" s="126">
        <v>115.0</v>
      </c>
      <c r="E31" s="126">
        <v>100.0</v>
      </c>
      <c r="F31" s="126">
        <v>85.0</v>
      </c>
    </row>
    <row r="32" ht="15.75" customHeight="1">
      <c r="A32" s="126">
        <v>4.0</v>
      </c>
      <c r="B32" s="128" t="s">
        <v>99</v>
      </c>
      <c r="C32" s="126" t="s">
        <v>68</v>
      </c>
      <c r="D32" s="131">
        <v>20.0</v>
      </c>
      <c r="E32" s="132">
        <v>10.0</v>
      </c>
      <c r="F32" s="132">
        <v>5.0</v>
      </c>
    </row>
    <row r="33" ht="15.75" customHeight="1">
      <c r="A33" s="126">
        <v>5.0</v>
      </c>
      <c r="B33" s="37" t="s">
        <v>100</v>
      </c>
      <c r="C33" s="56" t="s">
        <v>68</v>
      </c>
      <c r="D33" s="56">
        <v>110.0</v>
      </c>
      <c r="E33" s="56">
        <v>100.0</v>
      </c>
      <c r="F33" s="56">
        <v>90.0</v>
      </c>
    </row>
    <row r="34" ht="15.75" customHeight="1">
      <c r="A34" s="134"/>
      <c r="B34" s="135"/>
      <c r="C34" s="135"/>
      <c r="D34" s="135"/>
      <c r="E34" s="135"/>
      <c r="F34" s="135"/>
    </row>
    <row r="35" ht="15.75" customHeight="1">
      <c r="A35" s="138"/>
      <c r="B35" s="40"/>
      <c r="C35" s="40"/>
      <c r="D35" s="40"/>
      <c r="E35" s="40"/>
      <c r="F35" s="40"/>
    </row>
    <row r="36" ht="15.75" customHeight="1">
      <c r="A36" s="138"/>
      <c r="B36" s="40"/>
      <c r="C36" s="40"/>
      <c r="D36" s="40"/>
      <c r="E36" s="40"/>
      <c r="F36" s="40"/>
    </row>
    <row r="37" ht="15.75" customHeight="1">
      <c r="A37" s="143"/>
      <c r="B37" s="144"/>
      <c r="C37" s="144"/>
      <c r="D37" s="144"/>
      <c r="E37" s="144"/>
      <c r="F37" s="144"/>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4">
    <mergeCell ref="B12:F12"/>
    <mergeCell ref="B13:F13"/>
    <mergeCell ref="B23:F23"/>
    <mergeCell ref="B24:F24"/>
    <mergeCell ref="B25:F25"/>
    <mergeCell ref="B26:F26"/>
    <mergeCell ref="B27:F27"/>
    <mergeCell ref="A1:B3"/>
    <mergeCell ref="C1:E3"/>
    <mergeCell ref="A4:E4"/>
    <mergeCell ref="B7:F7"/>
    <mergeCell ref="B9:F9"/>
    <mergeCell ref="B10:F10"/>
    <mergeCell ref="B11:F11"/>
  </mergeCells>
  <hyperlinks>
    <hyperlink r:id="rId1" ref="B1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23.38"/>
    <col customWidth="1" min="2" max="2" width="23.75"/>
    <col customWidth="1" min="3" max="6" width="12.63"/>
    <col customWidth="1" min="8" max="8" width="8.63"/>
    <col customWidth="1" min="9" max="9" width="8.5"/>
  </cols>
  <sheetData>
    <row r="1" ht="15.75" customHeight="1">
      <c r="A1" s="5"/>
      <c r="B1" s="2" t="s">
        <v>0</v>
      </c>
      <c r="C1" s="4"/>
      <c r="D1" s="4"/>
      <c r="E1" s="4"/>
      <c r="F1" s="10"/>
      <c r="G1" s="14" t="s">
        <v>1</v>
      </c>
      <c r="I1" s="3"/>
    </row>
    <row r="2" ht="15.75" customHeight="1">
      <c r="A2" s="9"/>
      <c r="B2" s="9"/>
      <c r="F2" s="3"/>
      <c r="G2" s="14" t="s">
        <v>2</v>
      </c>
      <c r="I2" s="3"/>
    </row>
    <row r="3" ht="15.75" customHeight="1">
      <c r="A3" s="9"/>
      <c r="B3" s="9"/>
      <c r="F3" s="3"/>
      <c r="G3" s="14" t="s">
        <v>3</v>
      </c>
      <c r="I3" s="3"/>
    </row>
    <row r="4" ht="15.75" customHeight="1">
      <c r="A4" s="12" t="s">
        <v>4</v>
      </c>
      <c r="B4" s="15"/>
      <c r="C4" s="15"/>
      <c r="D4" s="15"/>
      <c r="E4" s="15"/>
      <c r="F4" s="13"/>
      <c r="G4" s="23" t="s">
        <v>5</v>
      </c>
      <c r="H4" s="15"/>
      <c r="I4" s="13"/>
    </row>
    <row r="5" ht="15.75" customHeight="1">
      <c r="A5" s="25"/>
      <c r="B5" s="26"/>
      <c r="C5" s="29"/>
      <c r="D5" s="29"/>
      <c r="E5" s="29"/>
      <c r="F5" s="29"/>
      <c r="G5" s="29"/>
      <c r="H5" s="29"/>
      <c r="I5" s="32"/>
    </row>
    <row r="6" ht="15.75" customHeight="1">
      <c r="A6" s="35" t="s">
        <v>10</v>
      </c>
      <c r="B6" s="37"/>
      <c r="C6" s="39"/>
      <c r="D6" s="40"/>
      <c r="E6" s="40"/>
      <c r="F6" s="40"/>
      <c r="G6" s="40"/>
      <c r="H6" s="40"/>
      <c r="I6" s="43"/>
    </row>
    <row r="7" ht="15.75" customHeight="1">
      <c r="A7" s="47" t="s">
        <v>17</v>
      </c>
      <c r="B7" s="56"/>
      <c r="C7" s="39"/>
      <c r="D7" s="40"/>
      <c r="E7" s="40"/>
      <c r="F7" s="40"/>
      <c r="G7" s="40"/>
      <c r="H7" s="40"/>
      <c r="I7" s="43"/>
    </row>
    <row r="8" ht="15.75" customHeight="1">
      <c r="A8" s="47" t="s">
        <v>34</v>
      </c>
      <c r="B8" s="37"/>
      <c r="C8" s="39"/>
      <c r="D8" s="40"/>
      <c r="E8" s="40"/>
      <c r="F8" s="40"/>
      <c r="G8" s="40"/>
      <c r="H8" s="40"/>
      <c r="I8" s="43"/>
    </row>
    <row r="9" ht="15.75" customHeight="1">
      <c r="A9" s="35" t="s">
        <v>37</v>
      </c>
      <c r="B9" s="58"/>
      <c r="C9" s="39"/>
      <c r="D9" s="40"/>
      <c r="E9" s="40"/>
      <c r="F9" s="40"/>
      <c r="G9" s="40"/>
      <c r="H9" s="40"/>
      <c r="I9" s="43"/>
    </row>
    <row r="10" ht="15.75" customHeight="1">
      <c r="A10" s="35" t="s">
        <v>39</v>
      </c>
      <c r="B10" s="58"/>
      <c r="C10" s="39"/>
      <c r="D10" s="40"/>
      <c r="E10" s="40"/>
      <c r="F10" s="40"/>
      <c r="G10" s="40"/>
      <c r="H10" s="40"/>
      <c r="I10" s="43"/>
    </row>
    <row r="11" ht="15.75" customHeight="1">
      <c r="A11" s="35" t="s">
        <v>41</v>
      </c>
      <c r="B11" s="37"/>
      <c r="C11" s="39"/>
      <c r="D11" s="40"/>
      <c r="E11" s="40"/>
      <c r="F11" s="40"/>
      <c r="G11" s="40"/>
      <c r="H11" s="40"/>
      <c r="I11" s="43"/>
    </row>
    <row r="12" ht="15.75" customHeight="1">
      <c r="A12" s="35" t="s">
        <v>42</v>
      </c>
      <c r="B12" s="6" t="s">
        <v>43</v>
      </c>
      <c r="C12" s="39"/>
      <c r="D12" s="40"/>
      <c r="E12" s="40"/>
      <c r="F12" s="40"/>
      <c r="G12" s="40"/>
      <c r="H12" s="40"/>
      <c r="I12" s="43"/>
    </row>
    <row r="13" ht="15.75" customHeight="1">
      <c r="A13" s="69" t="s">
        <v>45</v>
      </c>
      <c r="B13" s="73" t="s">
        <v>49</v>
      </c>
      <c r="C13" s="39"/>
      <c r="D13" s="40"/>
      <c r="E13" s="40"/>
      <c r="F13" s="40"/>
      <c r="G13" s="40"/>
      <c r="H13" s="40"/>
      <c r="I13" s="43"/>
    </row>
    <row r="14" ht="15.75" customHeight="1">
      <c r="A14" s="35" t="s">
        <v>50</v>
      </c>
      <c r="B14" s="37"/>
      <c r="C14" s="39"/>
      <c r="D14" s="40"/>
      <c r="E14" s="40"/>
      <c r="F14" s="40"/>
      <c r="G14" s="40"/>
      <c r="H14" s="40"/>
      <c r="I14" s="43"/>
    </row>
    <row r="15" ht="15.75" customHeight="1">
      <c r="A15" s="35" t="s">
        <v>51</v>
      </c>
      <c r="B15" s="37"/>
      <c r="C15" s="39"/>
      <c r="D15" s="40"/>
      <c r="E15" s="40"/>
      <c r="F15" s="40"/>
      <c r="G15" s="40"/>
      <c r="H15" s="40"/>
      <c r="I15" s="43"/>
    </row>
    <row r="16" ht="15.75" customHeight="1">
      <c r="A16" s="35" t="s">
        <v>53</v>
      </c>
      <c r="B16" s="37"/>
      <c r="C16" s="39"/>
      <c r="D16" s="40"/>
      <c r="E16" s="40"/>
      <c r="F16" s="40"/>
      <c r="G16" s="40"/>
      <c r="H16" s="40"/>
      <c r="I16" s="43"/>
    </row>
    <row r="17" ht="15.75" customHeight="1">
      <c r="A17" s="77" t="s">
        <v>54</v>
      </c>
      <c r="B17" s="79"/>
      <c r="C17" s="80"/>
      <c r="D17" s="82"/>
      <c r="E17" s="82"/>
      <c r="F17" s="82"/>
      <c r="G17" s="82"/>
      <c r="H17" s="82"/>
      <c r="I17" s="84"/>
    </row>
    <row r="18" ht="15.75" customHeight="1">
      <c r="A18" s="86"/>
      <c r="B18" s="29"/>
      <c r="C18" s="82"/>
      <c r="D18" s="82"/>
      <c r="E18" s="82"/>
      <c r="F18" s="82"/>
      <c r="G18" s="82"/>
      <c r="H18" s="82"/>
      <c r="I18" s="84"/>
    </row>
    <row r="19" ht="23.25" customHeight="1">
      <c r="A19" s="89"/>
      <c r="B19" s="89"/>
      <c r="C19" s="89"/>
      <c r="D19" s="89"/>
      <c r="E19" s="89"/>
      <c r="F19" s="89"/>
      <c r="G19" s="89"/>
      <c r="H19" s="89"/>
      <c r="I19" s="80"/>
    </row>
    <row r="20" ht="15.75" customHeight="1">
      <c r="A20" s="93"/>
      <c r="B20" s="96"/>
      <c r="C20" s="96"/>
      <c r="D20" s="96"/>
      <c r="E20" s="96"/>
      <c r="F20" s="96"/>
      <c r="G20" s="96"/>
      <c r="H20" s="96"/>
      <c r="I20" s="10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
    <mergeCell ref="A1:A3"/>
    <mergeCell ref="B1:F3"/>
    <mergeCell ref="G1:I1"/>
    <mergeCell ref="G2:I2"/>
    <mergeCell ref="G3:I3"/>
    <mergeCell ref="A4:F4"/>
    <mergeCell ref="G4:I4"/>
  </mergeCells>
  <dataValidations>
    <dataValidation type="list" allowBlank="1" showErrorMessage="1" sqref="B7">
      <formula1>"CEVC1,CEVC2,CEVC3,CEVC4"</formula1>
    </dataValidation>
    <dataValidation type="list" allowBlank="1" sqref="B11">
      <formula1>"On-going,Closed"</formula1>
    </dataValidation>
    <dataValidation type="list" allowBlank="1" sqref="B12">
      <formula1>"Development,Maintenance"</formula1>
    </dataValidation>
    <dataValidation type="list" allowBlank="1" sqref="B13">
      <formula1>"By Phase,By Sprint"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2" width="9.25"/>
    <col customWidth="1" min="3" max="5" width="17.63"/>
    <col customWidth="1" min="6" max="6" width="15.38"/>
    <col customWidth="1" min="7" max="7" width="17.75"/>
    <col customWidth="1" min="8" max="9" width="19.38"/>
    <col customWidth="1" min="10" max="11" width="18.25"/>
    <col customWidth="1" min="12" max="12" width="29.75"/>
    <col customWidth="1" min="13" max="13" width="16.63"/>
    <col customWidth="1" min="14" max="14" width="19.75"/>
  </cols>
  <sheetData>
    <row r="1" ht="15.75" customHeight="1">
      <c r="A1" s="2"/>
      <c r="B1" s="4"/>
      <c r="C1" s="7" t="s">
        <v>0</v>
      </c>
      <c r="D1" s="4"/>
      <c r="E1" s="4"/>
      <c r="F1" s="4"/>
      <c r="G1" s="4"/>
      <c r="H1" s="4"/>
      <c r="I1" s="4"/>
      <c r="J1" s="4"/>
      <c r="K1" s="4"/>
      <c r="L1" s="10"/>
      <c r="M1" s="11" t="s">
        <v>1</v>
      </c>
      <c r="N1" s="13"/>
    </row>
    <row r="2" ht="15.75" customHeight="1">
      <c r="A2" s="9"/>
      <c r="L2" s="3"/>
      <c r="M2" s="11" t="s">
        <v>2</v>
      </c>
      <c r="N2" s="13"/>
    </row>
    <row r="3" ht="15.75" customHeight="1">
      <c r="A3" s="9"/>
      <c r="L3" s="3"/>
      <c r="M3" s="11" t="s">
        <v>3</v>
      </c>
      <c r="N3" s="13"/>
    </row>
    <row r="4" ht="15.75" customHeight="1">
      <c r="A4" s="12" t="s">
        <v>4</v>
      </c>
      <c r="B4" s="15"/>
      <c r="C4" s="15"/>
      <c r="D4" s="15"/>
      <c r="E4" s="15"/>
      <c r="F4" s="13"/>
      <c r="G4" s="23"/>
      <c r="H4" s="15"/>
      <c r="I4" s="13"/>
      <c r="J4" s="31"/>
      <c r="K4" s="31"/>
      <c r="L4" s="33"/>
      <c r="M4" s="36" t="s">
        <v>5</v>
      </c>
      <c r="N4" s="13"/>
    </row>
    <row r="5" ht="15.75" customHeight="1">
      <c r="A5" s="38"/>
      <c r="B5" s="38"/>
      <c r="C5" s="38"/>
      <c r="D5" s="38"/>
      <c r="E5" s="38"/>
      <c r="F5" s="38"/>
      <c r="G5" s="38"/>
      <c r="H5" s="38"/>
      <c r="I5" s="38"/>
      <c r="J5" s="38"/>
      <c r="K5" s="38"/>
      <c r="L5" s="38"/>
      <c r="M5" s="41"/>
      <c r="N5" s="41"/>
    </row>
    <row r="6" ht="94.5" customHeight="1">
      <c r="A6" s="46" t="s">
        <v>16</v>
      </c>
      <c r="B6" s="49" t="s">
        <v>19</v>
      </c>
      <c r="C6" s="49" t="s">
        <v>21</v>
      </c>
      <c r="D6" s="49" t="s">
        <v>22</v>
      </c>
      <c r="E6" s="52" t="s">
        <v>23</v>
      </c>
      <c r="F6" s="52" t="s">
        <v>25</v>
      </c>
      <c r="G6" s="49" t="s">
        <v>26</v>
      </c>
      <c r="H6" s="49" t="s">
        <v>27</v>
      </c>
      <c r="I6" s="49" t="s">
        <v>28</v>
      </c>
      <c r="J6" s="52" t="s">
        <v>29</v>
      </c>
      <c r="K6" s="52" t="s">
        <v>30</v>
      </c>
      <c r="L6" s="55" t="s">
        <v>32</v>
      </c>
      <c r="M6" s="52" t="s">
        <v>35</v>
      </c>
      <c r="N6" s="59" t="s">
        <v>36</v>
      </c>
    </row>
    <row r="7" ht="15.75" hidden="1" customHeight="1">
      <c r="A7" s="60"/>
      <c r="B7" s="62"/>
      <c r="C7" s="63">
        <v>7.0</v>
      </c>
      <c r="D7" s="66"/>
      <c r="E7" s="60"/>
      <c r="F7" s="60"/>
      <c r="G7" s="66"/>
      <c r="H7" s="66"/>
      <c r="I7" s="66"/>
      <c r="J7" s="70"/>
      <c r="K7" s="70"/>
      <c r="L7" s="72"/>
      <c r="M7" s="72"/>
      <c r="N7" s="74"/>
    </row>
    <row r="8" ht="15.75" customHeight="1">
      <c r="A8" s="88">
        <v>1.0</v>
      </c>
      <c r="B8" s="91">
        <v>1.0</v>
      </c>
      <c r="C8" s="94">
        <v>45358.0</v>
      </c>
      <c r="D8" s="94">
        <f>C8+C7-1</f>
        <v>45364</v>
      </c>
      <c r="E8" s="117">
        <v>0.0</v>
      </c>
      <c r="F8" s="119">
        <v>0.0</v>
      </c>
      <c r="G8" s="120">
        <v>200.0</v>
      </c>
      <c r="H8" s="120">
        <v>200.0</v>
      </c>
      <c r="I8" s="121">
        <v>0.0</v>
      </c>
      <c r="J8" s="121">
        <v>7.0</v>
      </c>
      <c r="K8" s="120">
        <v>10.0</v>
      </c>
      <c r="L8" s="124"/>
      <c r="M8" s="127" t="s">
        <v>94</v>
      </c>
      <c r="N8" s="129"/>
    </row>
    <row r="9" ht="15.75" customHeight="1">
      <c r="A9" s="130">
        <v>2.0</v>
      </c>
      <c r="B9" s="91">
        <v>2.0</v>
      </c>
      <c r="C9" s="137">
        <f t="shared" ref="C9:C15" si="1">$C8+$C$7</f>
        <v>45365</v>
      </c>
      <c r="D9" s="137">
        <f t="shared" ref="D9:D14" si="2">D8+$C$7</f>
        <v>45371</v>
      </c>
      <c r="E9" s="145">
        <v>100.0</v>
      </c>
      <c r="F9" s="145">
        <v>0.0</v>
      </c>
      <c r="G9" s="127">
        <v>260.0</v>
      </c>
      <c r="H9" s="127">
        <v>260.0</v>
      </c>
      <c r="I9" s="127">
        <v>4.0</v>
      </c>
      <c r="J9" s="127">
        <v>21.0</v>
      </c>
      <c r="K9" s="127">
        <v>22.0</v>
      </c>
      <c r="L9" s="124"/>
      <c r="M9" s="124"/>
      <c r="N9" s="146"/>
    </row>
    <row r="10" ht="15.75" customHeight="1">
      <c r="A10" s="130">
        <v>2.0</v>
      </c>
      <c r="B10" s="91">
        <v>3.0</v>
      </c>
      <c r="C10" s="137">
        <f t="shared" si="1"/>
        <v>45372</v>
      </c>
      <c r="D10" s="137">
        <f t="shared" si="2"/>
        <v>45378</v>
      </c>
      <c r="E10" s="145">
        <v>1.0</v>
      </c>
      <c r="F10" s="145">
        <v>0.0</v>
      </c>
      <c r="G10" s="127">
        <v>320.0</v>
      </c>
      <c r="H10" s="127">
        <v>320.0</v>
      </c>
      <c r="I10" s="127">
        <v>120.0</v>
      </c>
      <c r="J10" s="127">
        <v>15.0</v>
      </c>
      <c r="K10" s="127">
        <v>17.0</v>
      </c>
      <c r="L10" s="124"/>
      <c r="M10" s="124"/>
      <c r="N10" s="124"/>
    </row>
    <row r="11" ht="15.75" customHeight="1">
      <c r="A11" s="130">
        <v>2.0</v>
      </c>
      <c r="B11" s="91">
        <v>4.0</v>
      </c>
      <c r="C11" s="137">
        <f t="shared" si="1"/>
        <v>45379</v>
      </c>
      <c r="D11" s="137">
        <f t="shared" si="2"/>
        <v>45385</v>
      </c>
      <c r="E11" s="145">
        <v>20.0</v>
      </c>
      <c r="F11" s="145">
        <v>0.0</v>
      </c>
      <c r="G11" s="127">
        <v>120.0</v>
      </c>
      <c r="H11" s="127">
        <v>100.0</v>
      </c>
      <c r="I11" s="127">
        <v>210.0</v>
      </c>
      <c r="J11" s="127">
        <v>26.0</v>
      </c>
      <c r="K11" s="127">
        <v>26.0</v>
      </c>
      <c r="L11" s="124"/>
      <c r="M11" s="124"/>
      <c r="N11" s="124"/>
    </row>
    <row r="12" ht="15.75" customHeight="1">
      <c r="A12" s="130">
        <v>2.0</v>
      </c>
      <c r="B12" s="91">
        <v>5.0</v>
      </c>
      <c r="C12" s="137">
        <f t="shared" si="1"/>
        <v>45386</v>
      </c>
      <c r="D12" s="137">
        <f t="shared" si="2"/>
        <v>45392</v>
      </c>
      <c r="E12" s="145">
        <v>1.0</v>
      </c>
      <c r="F12" s="145">
        <v>5.0</v>
      </c>
      <c r="G12" s="127">
        <v>11.0</v>
      </c>
      <c r="H12" s="127">
        <v>30.0</v>
      </c>
      <c r="I12" s="127">
        <v>111.0</v>
      </c>
      <c r="J12" s="127">
        <v>17.0</v>
      </c>
      <c r="K12" s="127">
        <v>18.0</v>
      </c>
      <c r="L12" s="124"/>
      <c r="M12" s="124"/>
      <c r="N12" s="146"/>
    </row>
    <row r="13" ht="15.75" customHeight="1">
      <c r="A13" s="130">
        <v>2.0</v>
      </c>
      <c r="B13" s="91">
        <v>6.0</v>
      </c>
      <c r="C13" s="137">
        <f t="shared" si="1"/>
        <v>45393</v>
      </c>
      <c r="D13" s="137">
        <f t="shared" si="2"/>
        <v>45399</v>
      </c>
      <c r="E13" s="147">
        <v>1.0</v>
      </c>
      <c r="F13" s="147">
        <v>10.0</v>
      </c>
      <c r="G13" s="148">
        <v>120.0</v>
      </c>
      <c r="H13" s="148">
        <v>150.0</v>
      </c>
      <c r="I13" s="148">
        <v>30.0</v>
      </c>
      <c r="J13" s="148">
        <v>20.0</v>
      </c>
      <c r="K13" s="148">
        <v>20.0</v>
      </c>
      <c r="L13" s="149"/>
      <c r="M13" s="149"/>
      <c r="N13" s="150"/>
    </row>
    <row r="14" ht="15.75" customHeight="1">
      <c r="A14" s="151">
        <v>2.0</v>
      </c>
      <c r="B14" s="152">
        <v>7.0</v>
      </c>
      <c r="C14" s="153">
        <f t="shared" si="1"/>
        <v>45400</v>
      </c>
      <c r="D14" s="153">
        <f t="shared" si="2"/>
        <v>45406</v>
      </c>
      <c r="E14" s="154">
        <v>1.0</v>
      </c>
      <c r="F14" s="154">
        <v>0.0</v>
      </c>
      <c r="G14" s="63">
        <v>29.0</v>
      </c>
      <c r="H14" s="63">
        <v>27.0</v>
      </c>
      <c r="I14" s="63">
        <v>0.0</v>
      </c>
      <c r="J14" s="63">
        <v>12.0</v>
      </c>
      <c r="K14" s="63">
        <v>12.0</v>
      </c>
      <c r="L14" s="155"/>
      <c r="M14" s="155"/>
      <c r="N14" s="156"/>
    </row>
    <row r="15" ht="15.75" customHeight="1">
      <c r="A15" s="151">
        <v>2.0</v>
      </c>
      <c r="B15" s="152">
        <v>8.0</v>
      </c>
      <c r="C15" s="153">
        <f t="shared" si="1"/>
        <v>45407</v>
      </c>
      <c r="D15" s="157">
        <v>45420.0</v>
      </c>
      <c r="E15" s="154">
        <v>0.0</v>
      </c>
      <c r="F15" s="154">
        <v>0.0</v>
      </c>
      <c r="G15" s="63">
        <v>33.5</v>
      </c>
      <c r="H15" s="63">
        <v>34.5</v>
      </c>
      <c r="I15" s="63">
        <v>0.0</v>
      </c>
      <c r="J15" s="63">
        <v>14.0</v>
      </c>
      <c r="K15" s="63">
        <v>15.0</v>
      </c>
      <c r="L15" s="155"/>
      <c r="M15" s="155"/>
      <c r="N15" s="156"/>
    </row>
    <row r="16" ht="15.75" customHeight="1">
      <c r="A16" s="151">
        <v>2.0</v>
      </c>
      <c r="B16" s="152">
        <v>9.0</v>
      </c>
      <c r="C16" s="157">
        <v>45420.0</v>
      </c>
      <c r="D16" s="153">
        <f t="shared" ref="D16:D26" si="3">D15+$C$7</f>
        <v>45427</v>
      </c>
      <c r="E16" s="154">
        <v>1.0</v>
      </c>
      <c r="F16" s="154">
        <v>0.0</v>
      </c>
      <c r="G16" s="63">
        <v>38.5</v>
      </c>
      <c r="H16" s="63">
        <v>34.0</v>
      </c>
      <c r="I16" s="63">
        <v>2.0</v>
      </c>
      <c r="J16" s="63">
        <v>14.0</v>
      </c>
      <c r="K16" s="63">
        <v>16.0</v>
      </c>
      <c r="L16" s="155"/>
      <c r="M16" s="155"/>
      <c r="N16" s="156"/>
    </row>
    <row r="17" ht="15.75" customHeight="1">
      <c r="A17" s="151">
        <v>2.0</v>
      </c>
      <c r="B17" s="152">
        <v>10.0</v>
      </c>
      <c r="C17" s="153">
        <f t="shared" ref="C17:C27" si="4">$C16+$C$7</f>
        <v>45427</v>
      </c>
      <c r="D17" s="153">
        <f t="shared" si="3"/>
        <v>45434</v>
      </c>
      <c r="E17" s="154">
        <v>0.0</v>
      </c>
      <c r="F17" s="154">
        <v>0.0</v>
      </c>
      <c r="G17" s="63">
        <v>34.5</v>
      </c>
      <c r="H17" s="63">
        <v>35.5</v>
      </c>
      <c r="I17" s="63">
        <v>0.0</v>
      </c>
      <c r="J17" s="63">
        <v>12.0</v>
      </c>
      <c r="K17" s="63">
        <v>12.0</v>
      </c>
      <c r="L17" s="155"/>
      <c r="M17" s="155"/>
      <c r="N17" s="156"/>
    </row>
    <row r="18" ht="15.75" customHeight="1">
      <c r="A18" s="151">
        <v>2.0</v>
      </c>
      <c r="B18" s="152">
        <v>11.0</v>
      </c>
      <c r="C18" s="153">
        <f t="shared" si="4"/>
        <v>45434</v>
      </c>
      <c r="D18" s="153">
        <f t="shared" si="3"/>
        <v>45441</v>
      </c>
      <c r="E18" s="154">
        <v>0.0</v>
      </c>
      <c r="F18" s="154">
        <v>0.0</v>
      </c>
      <c r="G18" s="63">
        <v>29.5</v>
      </c>
      <c r="H18" s="63">
        <v>33.0</v>
      </c>
      <c r="I18" s="63">
        <v>0.0</v>
      </c>
      <c r="J18" s="63">
        <v>16.0</v>
      </c>
      <c r="K18" s="63">
        <v>16.0</v>
      </c>
      <c r="L18" s="155"/>
      <c r="M18" s="155"/>
      <c r="N18" s="156"/>
    </row>
    <row r="19" ht="15.75" customHeight="1">
      <c r="A19" s="158">
        <v>3.0</v>
      </c>
      <c r="B19" s="152">
        <v>12.0</v>
      </c>
      <c r="C19" s="153">
        <f t="shared" si="4"/>
        <v>45441</v>
      </c>
      <c r="D19" s="153">
        <f t="shared" si="3"/>
        <v>45448</v>
      </c>
      <c r="E19" s="154">
        <v>1.0</v>
      </c>
      <c r="F19" s="154">
        <v>0.0</v>
      </c>
      <c r="G19" s="63">
        <v>27.0</v>
      </c>
      <c r="H19" s="63">
        <v>29.0</v>
      </c>
      <c r="I19" s="63">
        <v>2.0</v>
      </c>
      <c r="J19" s="63">
        <v>12.0</v>
      </c>
      <c r="K19" s="63">
        <v>13.0</v>
      </c>
      <c r="L19" s="155"/>
      <c r="M19" s="155"/>
      <c r="N19" s="156"/>
    </row>
    <row r="20" ht="15.75" customHeight="1">
      <c r="A20" s="158">
        <v>3.0</v>
      </c>
      <c r="B20" s="152">
        <v>13.0</v>
      </c>
      <c r="C20" s="153">
        <f t="shared" si="4"/>
        <v>45448</v>
      </c>
      <c r="D20" s="153">
        <f t="shared" si="3"/>
        <v>45455</v>
      </c>
      <c r="E20" s="154">
        <v>1.0</v>
      </c>
      <c r="F20" s="154">
        <v>0.0</v>
      </c>
      <c r="G20" s="63">
        <v>33.5</v>
      </c>
      <c r="H20" s="63">
        <v>35.0</v>
      </c>
      <c r="I20" s="63">
        <v>1.0</v>
      </c>
      <c r="J20" s="63">
        <v>16.0</v>
      </c>
      <c r="K20" s="63">
        <v>16.0</v>
      </c>
      <c r="L20" s="155"/>
      <c r="M20" s="155"/>
      <c r="N20" s="156"/>
    </row>
    <row r="21" ht="15.75" customHeight="1">
      <c r="A21" s="158">
        <v>3.0</v>
      </c>
      <c r="B21" s="152">
        <v>14.0</v>
      </c>
      <c r="C21" s="153">
        <f t="shared" si="4"/>
        <v>45455</v>
      </c>
      <c r="D21" s="153">
        <f t="shared" si="3"/>
        <v>45462</v>
      </c>
      <c r="E21" s="154">
        <v>0.0</v>
      </c>
      <c r="F21" s="154">
        <v>0.0</v>
      </c>
      <c r="G21" s="63">
        <v>31.5</v>
      </c>
      <c r="H21" s="63">
        <v>31.5</v>
      </c>
      <c r="I21" s="63">
        <v>0.0</v>
      </c>
      <c r="J21" s="63">
        <v>15.0</v>
      </c>
      <c r="K21" s="63">
        <v>15.0</v>
      </c>
      <c r="L21" s="155"/>
      <c r="M21" s="155"/>
      <c r="N21" s="156"/>
    </row>
    <row r="22" ht="15.75" customHeight="1">
      <c r="A22" s="158">
        <v>3.0</v>
      </c>
      <c r="B22" s="152">
        <v>15.0</v>
      </c>
      <c r="C22" s="153">
        <f t="shared" si="4"/>
        <v>45462</v>
      </c>
      <c r="D22" s="153">
        <f t="shared" si="3"/>
        <v>45469</v>
      </c>
      <c r="E22" s="154">
        <v>0.0</v>
      </c>
      <c r="F22" s="154">
        <v>0.0</v>
      </c>
      <c r="G22" s="63">
        <v>28.5</v>
      </c>
      <c r="H22" s="63">
        <v>27.0</v>
      </c>
      <c r="I22" s="63">
        <v>0.0</v>
      </c>
      <c r="J22" s="63">
        <v>9.0</v>
      </c>
      <c r="K22" s="63">
        <v>9.0</v>
      </c>
      <c r="L22" s="155"/>
      <c r="M22" s="155"/>
      <c r="N22" s="156"/>
    </row>
    <row r="23" ht="15.75" customHeight="1">
      <c r="A23" s="158">
        <v>3.0</v>
      </c>
      <c r="B23" s="152">
        <v>16.0</v>
      </c>
      <c r="C23" s="153">
        <f t="shared" si="4"/>
        <v>45469</v>
      </c>
      <c r="D23" s="153">
        <f t="shared" si="3"/>
        <v>45476</v>
      </c>
      <c r="E23" s="154">
        <v>0.0</v>
      </c>
      <c r="F23" s="154">
        <v>0.0</v>
      </c>
      <c r="G23" s="63">
        <v>28.0</v>
      </c>
      <c r="H23" s="63">
        <v>28.5</v>
      </c>
      <c r="I23" s="63">
        <v>0.0</v>
      </c>
      <c r="J23" s="63">
        <v>13.0</v>
      </c>
      <c r="K23" s="159">
        <v>13.0</v>
      </c>
      <c r="L23" s="155"/>
      <c r="M23" s="155"/>
      <c r="N23" s="156"/>
    </row>
    <row r="24" ht="15.75" customHeight="1">
      <c r="A24" s="158">
        <v>3.0</v>
      </c>
      <c r="B24" s="152">
        <v>17.0</v>
      </c>
      <c r="C24" s="153">
        <f t="shared" si="4"/>
        <v>45476</v>
      </c>
      <c r="D24" s="153">
        <f t="shared" si="3"/>
        <v>45483</v>
      </c>
      <c r="E24" s="160">
        <v>0.0</v>
      </c>
      <c r="F24" s="160">
        <v>0.0</v>
      </c>
      <c r="G24" s="63">
        <v>42.5</v>
      </c>
      <c r="H24" s="63">
        <v>39.0</v>
      </c>
      <c r="I24" s="63">
        <v>0.0</v>
      </c>
      <c r="J24" s="63">
        <v>14.0</v>
      </c>
      <c r="K24" s="63">
        <v>14.0</v>
      </c>
      <c r="L24" s="155"/>
      <c r="M24" s="155"/>
      <c r="N24" s="156"/>
    </row>
    <row r="25" ht="15.75" customHeight="1">
      <c r="A25" s="158">
        <v>3.0</v>
      </c>
      <c r="B25" s="152">
        <v>18.0</v>
      </c>
      <c r="C25" s="153">
        <f t="shared" si="4"/>
        <v>45483</v>
      </c>
      <c r="D25" s="153">
        <f t="shared" si="3"/>
        <v>45490</v>
      </c>
      <c r="E25" s="160">
        <v>3.0</v>
      </c>
      <c r="F25" s="160">
        <v>0.0</v>
      </c>
      <c r="G25" s="63">
        <v>28.0</v>
      </c>
      <c r="H25" s="63">
        <v>29.0</v>
      </c>
      <c r="I25" s="63">
        <v>5.0</v>
      </c>
      <c r="J25" s="63">
        <v>14.0</v>
      </c>
      <c r="K25" s="63">
        <v>14.0</v>
      </c>
      <c r="L25" s="155"/>
      <c r="M25" s="155"/>
      <c r="N25" s="156"/>
    </row>
    <row r="26" ht="15.75" customHeight="1">
      <c r="A26" s="161">
        <v>3.0</v>
      </c>
      <c r="B26" s="152">
        <v>19.0</v>
      </c>
      <c r="C26" s="153">
        <f t="shared" si="4"/>
        <v>45490</v>
      </c>
      <c r="D26" s="153">
        <f t="shared" si="3"/>
        <v>45497</v>
      </c>
      <c r="E26" s="162">
        <v>3.0</v>
      </c>
      <c r="F26" s="160">
        <v>0.0</v>
      </c>
      <c r="G26" s="63">
        <v>32.5</v>
      </c>
      <c r="H26" s="63">
        <v>29.5</v>
      </c>
      <c r="I26" s="63">
        <v>4.0</v>
      </c>
      <c r="J26" s="63">
        <v>12.0</v>
      </c>
      <c r="K26" s="63">
        <v>14.0</v>
      </c>
      <c r="L26" s="155"/>
      <c r="M26" s="155"/>
      <c r="N26" s="156"/>
    </row>
    <row r="27" ht="15.75" customHeight="1">
      <c r="A27" s="161">
        <v>3.0</v>
      </c>
      <c r="B27" s="152">
        <v>20.0</v>
      </c>
      <c r="C27" s="153">
        <f t="shared" si="4"/>
        <v>45497</v>
      </c>
      <c r="D27" s="157">
        <v>45505.0</v>
      </c>
      <c r="E27" s="162">
        <v>1.0</v>
      </c>
      <c r="F27" s="63">
        <v>0.0</v>
      </c>
      <c r="G27" s="63">
        <v>36.0</v>
      </c>
      <c r="H27" s="63">
        <v>38.5</v>
      </c>
      <c r="I27" s="63">
        <v>1.0</v>
      </c>
      <c r="J27" s="63">
        <v>20.0</v>
      </c>
      <c r="K27" s="63">
        <v>20.0</v>
      </c>
      <c r="L27" s="155"/>
      <c r="M27" s="155"/>
      <c r="N27" s="156"/>
    </row>
    <row r="28" ht="15.75" customHeight="1">
      <c r="A28" s="161">
        <v>3.0</v>
      </c>
      <c r="B28" s="152">
        <v>21.0</v>
      </c>
      <c r="C28" s="157">
        <v>45505.0</v>
      </c>
      <c r="D28" s="157">
        <v>45518.0</v>
      </c>
      <c r="E28" s="162">
        <v>2.0</v>
      </c>
      <c r="F28" s="162">
        <v>0.0</v>
      </c>
      <c r="G28" s="162">
        <v>52.0</v>
      </c>
      <c r="H28" s="162">
        <v>46.5</v>
      </c>
      <c r="I28" s="162">
        <v>3.5</v>
      </c>
      <c r="J28" s="162">
        <v>22.0</v>
      </c>
      <c r="K28" s="162">
        <v>25.0</v>
      </c>
      <c r="L28" s="155"/>
      <c r="M28" s="155"/>
      <c r="N28" s="155"/>
    </row>
    <row r="29" ht="15.75" customHeight="1">
      <c r="A29" s="161">
        <v>3.0</v>
      </c>
      <c r="B29" s="152">
        <v>22.0</v>
      </c>
      <c r="C29" s="157">
        <v>45518.0</v>
      </c>
      <c r="D29" s="153">
        <f t="shared" ref="D29:D47" si="5">D28+$C$7</f>
        <v>45525</v>
      </c>
      <c r="E29" s="162">
        <v>3.0</v>
      </c>
      <c r="F29" s="127">
        <v>0.0</v>
      </c>
      <c r="G29" s="127">
        <v>40.0</v>
      </c>
      <c r="H29" s="127">
        <v>35.0</v>
      </c>
      <c r="I29" s="127">
        <v>3.5</v>
      </c>
      <c r="J29" s="127">
        <v>19.0</v>
      </c>
      <c r="K29" s="127">
        <v>19.0</v>
      </c>
      <c r="L29" s="124"/>
      <c r="M29" s="124"/>
      <c r="N29" s="156"/>
    </row>
    <row r="30" ht="15.75" customHeight="1">
      <c r="A30" s="161">
        <v>3.0</v>
      </c>
      <c r="B30" s="152">
        <v>23.0</v>
      </c>
      <c r="C30" s="153">
        <f t="shared" ref="C30:C47" si="6">$C29+$C$7</f>
        <v>45525</v>
      </c>
      <c r="D30" s="153">
        <f t="shared" si="5"/>
        <v>45532</v>
      </c>
      <c r="E30" s="162">
        <v>2.0</v>
      </c>
      <c r="F30" s="162">
        <v>0.0</v>
      </c>
      <c r="G30" s="162">
        <v>39.0</v>
      </c>
      <c r="H30" s="162">
        <v>36.5</v>
      </c>
      <c r="I30" s="162">
        <v>7.0</v>
      </c>
      <c r="J30" s="162">
        <v>17.0</v>
      </c>
      <c r="K30" s="162">
        <v>17.0</v>
      </c>
      <c r="L30" s="155"/>
      <c r="M30" s="155"/>
      <c r="N30" s="156"/>
    </row>
    <row r="31" ht="15.75" customHeight="1">
      <c r="A31" s="161">
        <v>4.0</v>
      </c>
      <c r="B31" s="152">
        <v>24.0</v>
      </c>
      <c r="C31" s="153">
        <f t="shared" si="6"/>
        <v>45532</v>
      </c>
      <c r="D31" s="153">
        <f t="shared" si="5"/>
        <v>45539</v>
      </c>
      <c r="E31" s="162">
        <v>0.0</v>
      </c>
      <c r="F31" s="162">
        <v>0.0</v>
      </c>
      <c r="G31" s="159">
        <v>7.0</v>
      </c>
      <c r="H31" s="162">
        <v>21.0</v>
      </c>
      <c r="I31" s="162">
        <v>0.0</v>
      </c>
      <c r="J31" s="162">
        <v>5.0</v>
      </c>
      <c r="K31" s="162">
        <v>12.0</v>
      </c>
      <c r="L31" s="155"/>
      <c r="M31" s="155"/>
      <c r="N31" s="156"/>
    </row>
    <row r="32" ht="15.75" customHeight="1">
      <c r="A32" s="161">
        <v>4.0</v>
      </c>
      <c r="B32" s="152">
        <v>25.0</v>
      </c>
      <c r="C32" s="153">
        <f t="shared" si="6"/>
        <v>45539</v>
      </c>
      <c r="D32" s="153">
        <f t="shared" si="5"/>
        <v>45546</v>
      </c>
      <c r="E32" s="167">
        <v>0.0</v>
      </c>
      <c r="F32" s="167">
        <v>0.0</v>
      </c>
      <c r="G32" s="167">
        <v>40.5</v>
      </c>
      <c r="H32" s="167">
        <v>36.0</v>
      </c>
      <c r="I32" s="167">
        <v>0.0</v>
      </c>
      <c r="J32" s="167">
        <v>18.0</v>
      </c>
      <c r="K32" s="167">
        <v>18.0</v>
      </c>
      <c r="L32" s="92"/>
      <c r="M32" s="155"/>
      <c r="N32" s="169"/>
    </row>
    <row r="33" ht="15.75" customHeight="1">
      <c r="A33" s="161">
        <v>4.0</v>
      </c>
      <c r="B33" s="152">
        <v>26.0</v>
      </c>
      <c r="C33" s="153">
        <f t="shared" si="6"/>
        <v>45546</v>
      </c>
      <c r="D33" s="153">
        <f t="shared" si="5"/>
        <v>45553</v>
      </c>
      <c r="E33" s="167">
        <v>3.0</v>
      </c>
      <c r="F33" s="167">
        <v>0.0</v>
      </c>
      <c r="G33" s="167">
        <v>36.0</v>
      </c>
      <c r="H33" s="167">
        <v>40.0</v>
      </c>
      <c r="I33" s="167">
        <v>7.0</v>
      </c>
      <c r="J33" s="167">
        <v>16.0</v>
      </c>
      <c r="K33" s="167">
        <v>18.0</v>
      </c>
      <c r="L33" s="92"/>
      <c r="M33" s="155"/>
      <c r="N33" s="169"/>
    </row>
    <row r="34" ht="15.75" customHeight="1">
      <c r="A34" s="161">
        <v>4.0</v>
      </c>
      <c r="B34" s="152">
        <v>27.0</v>
      </c>
      <c r="C34" s="153">
        <f t="shared" si="6"/>
        <v>45553</v>
      </c>
      <c r="D34" s="153">
        <f t="shared" si="5"/>
        <v>45560</v>
      </c>
      <c r="E34" s="167">
        <v>3.0</v>
      </c>
      <c r="F34" s="167">
        <v>0.0</v>
      </c>
      <c r="G34" s="167">
        <v>37.0</v>
      </c>
      <c r="H34" s="167">
        <v>40.0</v>
      </c>
      <c r="I34" s="167">
        <v>7.0</v>
      </c>
      <c r="J34" s="167">
        <v>14.0</v>
      </c>
      <c r="K34" s="167">
        <v>15.0</v>
      </c>
      <c r="L34" s="92"/>
      <c r="M34" s="155"/>
      <c r="N34" s="169"/>
    </row>
    <row r="35" ht="15.75" customHeight="1">
      <c r="A35" s="170">
        <v>4.0</v>
      </c>
      <c r="B35" s="171">
        <v>28.0</v>
      </c>
      <c r="C35" s="172">
        <f t="shared" si="6"/>
        <v>45560</v>
      </c>
      <c r="D35" s="172">
        <f t="shared" si="5"/>
        <v>45567</v>
      </c>
      <c r="E35" s="173">
        <v>0.0</v>
      </c>
      <c r="F35" s="174">
        <v>0.0</v>
      </c>
      <c r="G35" s="175">
        <v>200.0</v>
      </c>
      <c r="H35" s="175">
        <v>200.0</v>
      </c>
      <c r="I35" s="176">
        <v>0.0</v>
      </c>
      <c r="J35" s="176">
        <v>7.0</v>
      </c>
      <c r="K35" s="175">
        <v>10.0</v>
      </c>
      <c r="L35" s="177"/>
      <c r="M35" s="178"/>
      <c r="N35" s="179"/>
    </row>
    <row r="36" ht="15.75" customHeight="1">
      <c r="A36" s="161">
        <v>4.0</v>
      </c>
      <c r="B36" s="152">
        <v>29.0</v>
      </c>
      <c r="C36" s="153">
        <f t="shared" si="6"/>
        <v>45567</v>
      </c>
      <c r="D36" s="153">
        <f t="shared" si="5"/>
        <v>45574</v>
      </c>
      <c r="E36" s="145">
        <v>100.0</v>
      </c>
      <c r="F36" s="145">
        <v>0.0</v>
      </c>
      <c r="G36" s="127">
        <v>260.0</v>
      </c>
      <c r="H36" s="127">
        <v>260.0</v>
      </c>
      <c r="I36" s="127">
        <v>4.0</v>
      </c>
      <c r="J36" s="127">
        <v>21.0</v>
      </c>
      <c r="K36" s="127">
        <v>22.0</v>
      </c>
      <c r="L36" s="92"/>
      <c r="M36" s="155"/>
      <c r="N36" s="169"/>
    </row>
    <row r="37" ht="15.75" customHeight="1">
      <c r="A37" s="181">
        <v>4.0</v>
      </c>
      <c r="B37" s="182">
        <v>30.0</v>
      </c>
      <c r="C37" s="183">
        <f t="shared" si="6"/>
        <v>45574</v>
      </c>
      <c r="D37" s="183">
        <f t="shared" si="5"/>
        <v>45581</v>
      </c>
      <c r="E37" s="184">
        <v>1.0</v>
      </c>
      <c r="F37" s="184">
        <v>0.0</v>
      </c>
      <c r="G37" s="185">
        <v>320.0</v>
      </c>
      <c r="H37" s="185">
        <v>320.0</v>
      </c>
      <c r="I37" s="185">
        <v>120.0</v>
      </c>
      <c r="J37" s="185">
        <v>15.0</v>
      </c>
      <c r="K37" s="185">
        <v>17.0</v>
      </c>
      <c r="L37" s="186"/>
      <c r="M37" s="188"/>
      <c r="N37" s="189"/>
    </row>
    <row r="38" ht="15.75" customHeight="1">
      <c r="A38" s="161">
        <v>4.0</v>
      </c>
      <c r="B38" s="161">
        <v>31.0</v>
      </c>
      <c r="C38" s="153">
        <f t="shared" si="6"/>
        <v>45581</v>
      </c>
      <c r="D38" s="153">
        <f t="shared" si="5"/>
        <v>45588</v>
      </c>
      <c r="E38" s="167"/>
      <c r="F38" s="167"/>
      <c r="G38" s="167"/>
      <c r="I38" s="167"/>
      <c r="J38" s="167"/>
      <c r="K38" s="167"/>
      <c r="L38" s="92"/>
      <c r="M38" s="155"/>
      <c r="N38" s="169"/>
    </row>
    <row r="39" ht="15.75" customHeight="1">
      <c r="A39" s="161">
        <v>5.0</v>
      </c>
      <c r="B39" s="152">
        <v>32.0</v>
      </c>
      <c r="C39" s="153">
        <f t="shared" si="6"/>
        <v>45588</v>
      </c>
      <c r="D39" s="153">
        <f t="shared" si="5"/>
        <v>45595</v>
      </c>
      <c r="E39" s="167"/>
      <c r="F39" s="167"/>
      <c r="G39" s="167"/>
      <c r="H39" s="167"/>
      <c r="I39" s="167"/>
      <c r="J39" s="167"/>
      <c r="K39" s="167"/>
      <c r="L39" s="92"/>
      <c r="M39" s="155"/>
      <c r="N39" s="169"/>
    </row>
    <row r="40" ht="15.75" customHeight="1">
      <c r="A40" s="161">
        <v>5.0</v>
      </c>
      <c r="B40" s="161">
        <v>33.0</v>
      </c>
      <c r="C40" s="153">
        <f t="shared" si="6"/>
        <v>45595</v>
      </c>
      <c r="D40" s="153">
        <f t="shared" si="5"/>
        <v>45602</v>
      </c>
      <c r="E40" s="167"/>
      <c r="F40" s="167"/>
      <c r="G40" s="167"/>
      <c r="H40" s="167"/>
      <c r="I40" s="167"/>
      <c r="J40" s="167"/>
      <c r="K40" s="167"/>
      <c r="L40" s="92"/>
      <c r="M40" s="155"/>
      <c r="N40" s="169"/>
    </row>
    <row r="41" ht="15.75" customHeight="1">
      <c r="A41" s="161">
        <v>5.0</v>
      </c>
      <c r="B41" s="152">
        <v>34.0</v>
      </c>
      <c r="C41" s="153">
        <f t="shared" si="6"/>
        <v>45602</v>
      </c>
      <c r="D41" s="153">
        <f t="shared" si="5"/>
        <v>45609</v>
      </c>
      <c r="E41" s="167"/>
      <c r="F41" s="167"/>
      <c r="G41" s="167"/>
      <c r="H41" s="167"/>
      <c r="I41" s="167"/>
      <c r="J41" s="167"/>
      <c r="K41" s="167"/>
      <c r="L41" s="92"/>
      <c r="M41" s="155"/>
      <c r="N41" s="169"/>
    </row>
    <row r="42" ht="15.75" customHeight="1">
      <c r="A42" s="161">
        <v>5.0</v>
      </c>
      <c r="B42" s="161">
        <v>35.0</v>
      </c>
      <c r="C42" s="153">
        <f t="shared" si="6"/>
        <v>45609</v>
      </c>
      <c r="D42" s="153">
        <f t="shared" si="5"/>
        <v>45616</v>
      </c>
      <c r="E42" s="167"/>
      <c r="F42" s="167"/>
      <c r="G42" s="167"/>
      <c r="H42" s="167"/>
      <c r="I42" s="167"/>
      <c r="J42" s="167"/>
      <c r="K42" s="167"/>
      <c r="L42" s="92"/>
      <c r="M42" s="155"/>
      <c r="N42" s="169"/>
    </row>
    <row r="43" ht="15.75" customHeight="1">
      <c r="A43" s="161">
        <v>5.0</v>
      </c>
      <c r="B43" s="152">
        <v>36.0</v>
      </c>
      <c r="C43" s="153">
        <f t="shared" si="6"/>
        <v>45616</v>
      </c>
      <c r="D43" s="153">
        <f t="shared" si="5"/>
        <v>45623</v>
      </c>
      <c r="E43" s="167"/>
      <c r="F43" s="167"/>
      <c r="G43" s="167"/>
      <c r="H43" s="167"/>
      <c r="I43" s="167"/>
      <c r="J43" s="167"/>
      <c r="K43" s="167"/>
      <c r="L43" s="92"/>
      <c r="M43" s="155"/>
      <c r="N43" s="169"/>
    </row>
    <row r="44" ht="15.75" customHeight="1">
      <c r="A44" s="161">
        <v>5.0</v>
      </c>
      <c r="B44" s="161">
        <v>37.0</v>
      </c>
      <c r="C44" s="153">
        <f t="shared" si="6"/>
        <v>45623</v>
      </c>
      <c r="D44" s="153">
        <f t="shared" si="5"/>
        <v>45630</v>
      </c>
      <c r="E44" s="167"/>
      <c r="F44" s="167"/>
      <c r="G44" s="167"/>
      <c r="H44" s="167"/>
      <c r="I44" s="167"/>
      <c r="J44" s="167"/>
      <c r="K44" s="167"/>
      <c r="L44" s="92"/>
      <c r="M44" s="155"/>
      <c r="N44" s="169"/>
    </row>
    <row r="45" ht="15.75" customHeight="1">
      <c r="A45" s="161">
        <v>5.0</v>
      </c>
      <c r="B45" s="152">
        <v>38.0</v>
      </c>
      <c r="C45" s="153">
        <f t="shared" si="6"/>
        <v>45630</v>
      </c>
      <c r="D45" s="153">
        <f t="shared" si="5"/>
        <v>45637</v>
      </c>
      <c r="E45" s="167"/>
      <c r="F45" s="167"/>
      <c r="G45" s="167"/>
      <c r="H45" s="167"/>
      <c r="I45" s="167"/>
      <c r="J45" s="167"/>
      <c r="K45" s="167"/>
      <c r="L45" s="92"/>
      <c r="M45" s="155"/>
      <c r="N45" s="169"/>
    </row>
    <row r="46" ht="15.75" customHeight="1">
      <c r="A46" s="161">
        <v>5.0</v>
      </c>
      <c r="B46" s="161">
        <v>39.0</v>
      </c>
      <c r="C46" s="153">
        <f t="shared" si="6"/>
        <v>45637</v>
      </c>
      <c r="D46" s="153">
        <f t="shared" si="5"/>
        <v>45644</v>
      </c>
      <c r="E46" s="167"/>
      <c r="F46" s="167"/>
      <c r="G46" s="167"/>
      <c r="H46" s="167"/>
      <c r="I46" s="167"/>
      <c r="J46" s="167"/>
      <c r="K46" s="167"/>
      <c r="L46" s="92"/>
      <c r="M46" s="155"/>
      <c r="N46" s="169"/>
    </row>
    <row r="47" ht="15.75" customHeight="1">
      <c r="A47" s="161">
        <v>5.0</v>
      </c>
      <c r="B47" s="152">
        <v>40.0</v>
      </c>
      <c r="C47" s="153">
        <f t="shared" si="6"/>
        <v>45644</v>
      </c>
      <c r="D47" s="153">
        <f t="shared" si="5"/>
        <v>45651</v>
      </c>
      <c r="E47" s="167"/>
      <c r="F47" s="167"/>
      <c r="G47" s="167"/>
      <c r="H47" s="167"/>
      <c r="I47" s="167"/>
      <c r="J47" s="167"/>
      <c r="K47" s="167"/>
      <c r="L47" s="92"/>
      <c r="M47" s="155"/>
      <c r="N47" s="169"/>
    </row>
    <row r="48" ht="15.75" customHeight="1">
      <c r="A48" s="198"/>
      <c r="B48" s="198"/>
      <c r="C48" s="198"/>
      <c r="D48" s="198"/>
      <c r="E48" s="198"/>
      <c r="F48" s="198"/>
      <c r="G48" s="198"/>
      <c r="H48" s="198"/>
      <c r="I48" s="198"/>
      <c r="J48" s="198"/>
      <c r="K48" s="198"/>
      <c r="L48" s="198"/>
      <c r="M48" s="198"/>
      <c r="N48" s="198"/>
    </row>
    <row r="49" ht="15.75" customHeight="1">
      <c r="A49" s="198"/>
      <c r="B49" s="198"/>
      <c r="C49" s="198"/>
      <c r="D49" s="198"/>
      <c r="E49" s="198"/>
      <c r="F49" s="198"/>
      <c r="G49" s="198"/>
      <c r="H49" s="198"/>
      <c r="I49" s="198"/>
      <c r="J49" s="198"/>
      <c r="K49" s="198"/>
      <c r="L49" s="198"/>
      <c r="M49" s="198"/>
      <c r="N49" s="198"/>
    </row>
    <row r="50" ht="15.75" customHeight="1">
      <c r="A50" s="198"/>
      <c r="B50" s="198"/>
      <c r="C50" s="198"/>
      <c r="D50" s="198"/>
      <c r="E50" s="198"/>
      <c r="F50" s="198"/>
      <c r="G50" s="198"/>
      <c r="H50" s="198"/>
      <c r="I50" s="198"/>
      <c r="J50" s="198"/>
      <c r="K50" s="198"/>
      <c r="L50" s="198"/>
      <c r="M50" s="198"/>
      <c r="N50" s="198"/>
    </row>
  </sheetData>
  <mergeCells count="8">
    <mergeCell ref="A1:B3"/>
    <mergeCell ref="C1:L3"/>
    <mergeCell ref="M1:N1"/>
    <mergeCell ref="M2:N2"/>
    <mergeCell ref="M3:N3"/>
    <mergeCell ref="A4:F4"/>
    <mergeCell ref="G4:I4"/>
    <mergeCell ref="M4:N4"/>
  </mergeCells>
  <dataValidations>
    <dataValidation type="list" allowBlank="1" sqref="M8:M47">
      <formula1>"Web,Mobile App,General"</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9.63"/>
    <col customWidth="1" min="2" max="2" width="12.75"/>
    <col customWidth="1" min="3" max="3" width="15.13"/>
    <col customWidth="1" min="4" max="8" width="29.25"/>
    <col customWidth="1" min="9" max="9" width="67.5"/>
  </cols>
  <sheetData>
    <row r="1" ht="15.75" customHeight="1">
      <c r="A1" s="163"/>
      <c r="B1" s="4"/>
      <c r="C1" s="163" t="s">
        <v>107</v>
      </c>
      <c r="D1" s="4"/>
      <c r="E1" s="4"/>
      <c r="F1" s="4"/>
      <c r="G1" s="4"/>
      <c r="H1" s="10"/>
      <c r="I1" s="164" t="s">
        <v>1</v>
      </c>
    </row>
    <row r="2" ht="15.75" customHeight="1">
      <c r="A2" s="9"/>
      <c r="C2" s="9"/>
      <c r="H2" s="3"/>
      <c r="I2" s="164" t="s">
        <v>2</v>
      </c>
    </row>
    <row r="3" ht="15.75" customHeight="1">
      <c r="A3" s="27"/>
      <c r="B3" s="30"/>
      <c r="C3" s="27"/>
      <c r="D3" s="30"/>
      <c r="E3" s="30"/>
      <c r="F3" s="30"/>
      <c r="G3" s="30"/>
      <c r="H3" s="19"/>
      <c r="I3" s="164" t="s">
        <v>3</v>
      </c>
    </row>
    <row r="4" ht="15.75" customHeight="1">
      <c r="A4" s="165" t="s">
        <v>4</v>
      </c>
      <c r="B4" s="15"/>
      <c r="C4" s="15"/>
      <c r="D4" s="15"/>
      <c r="E4" s="15"/>
      <c r="F4" s="15"/>
      <c r="G4" s="15"/>
      <c r="H4" s="13"/>
      <c r="I4" s="166" t="s">
        <v>5</v>
      </c>
    </row>
    <row r="5" ht="15.75" customHeight="1">
      <c r="A5" s="38"/>
      <c r="B5" s="38"/>
      <c r="C5" s="38"/>
      <c r="D5" s="38"/>
      <c r="E5" s="38"/>
      <c r="F5" s="38"/>
      <c r="G5" s="38"/>
      <c r="H5" s="41"/>
      <c r="I5" s="41"/>
    </row>
    <row r="6" ht="81.75" customHeight="1">
      <c r="A6" s="49" t="s">
        <v>19</v>
      </c>
      <c r="B6" s="52" t="s">
        <v>108</v>
      </c>
      <c r="C6" s="52" t="s">
        <v>109</v>
      </c>
      <c r="D6" s="49" t="s">
        <v>110</v>
      </c>
      <c r="E6" s="49" t="s">
        <v>111</v>
      </c>
      <c r="F6" s="49" t="s">
        <v>112</v>
      </c>
      <c r="G6" s="49" t="s">
        <v>113</v>
      </c>
      <c r="H6" s="168" t="s">
        <v>114</v>
      </c>
      <c r="I6" s="52" t="s">
        <v>36</v>
      </c>
    </row>
    <row r="7">
      <c r="A7" s="132">
        <v>1.0</v>
      </c>
      <c r="B7" s="153">
        <f>'3. Weekly raw data'!C8</f>
        <v>45358</v>
      </c>
      <c r="C7" s="153">
        <f>'3. Weekly raw data'!D8</f>
        <v>45364</v>
      </c>
      <c r="D7" s="180">
        <f>VLOOKUP(A7,'3. Weekly raw data'!$B$8:$N$50,4,0)/(VLOOKUP(A7,'3. Weekly raw data'!$B$8:$N$50,6,0))</f>
        <v>0</v>
      </c>
      <c r="E7" s="180" t="str">
        <f>Iferror(VLOOKUP(A7,'3. Weekly raw data'!$B$8:$N$50,5,0)/(VLOOKUP(A7,'3. Weekly raw data'!$B$8:$N$50,4,0)+VLOOKUP(A7,'3. Weekly raw data'!$B$8:$N$50,5,0)),"")</f>
        <v/>
      </c>
      <c r="F7" s="180">
        <f>(VLOOKUP(A7,'3. Weekly raw data'!$B$8:$N$50,6,0)/VLOOKUP(A7,'3. Weekly raw data'!$B$8:$N$50,7,0)*100)</f>
        <v>100</v>
      </c>
      <c r="G7" s="180">
        <f>(VLOOKUP(A7,'3. Weekly raw data'!$B$8:$N$50,8,0)/VLOOKUP(A7,'3. Weekly raw data'!$B$8:$N$50,6,0)*100)</f>
        <v>0</v>
      </c>
      <c r="H7" s="192">
        <f>VLOOKUP(A7,'3. Weekly raw data'!$B$8:$N$50,9,0)/VLOOKUP(A7,'3. Weekly raw data'!$B$8:$N$50,10,0)*100</f>
        <v>70</v>
      </c>
      <c r="I7" s="194" t="s">
        <v>115</v>
      </c>
    </row>
    <row r="8" ht="15.75" customHeight="1">
      <c r="A8" s="132">
        <v>2.0</v>
      </c>
      <c r="B8" s="153">
        <f>'3. Weekly raw data'!C9</f>
        <v>45365</v>
      </c>
      <c r="C8" s="153">
        <f>'3. Weekly raw data'!D9</f>
        <v>45371</v>
      </c>
      <c r="D8" s="180">
        <f>VLOOKUP(A8,'3. Weekly raw data'!$B$8:$N$50,4,0)/(VLOOKUP(A8,'3. Weekly raw data'!$B$8:$N$50,6,0))</f>
        <v>0.3846153846</v>
      </c>
      <c r="E8" s="180">
        <f>Iferror(VLOOKUP(A8,'3. Weekly raw data'!$B$8:$N$50,5,0)/(VLOOKUP(A8,'3. Weekly raw data'!$B$8:$N$50,4,0)+VLOOKUP(A8,'3. Weekly raw data'!$B$8:$N$50,5,0)),"")</f>
        <v>0</v>
      </c>
      <c r="F8" s="180">
        <f>(VLOOKUP(A8,'3. Weekly raw data'!$B$8:$N$50,6,0)/VLOOKUP(A8,'3. Weekly raw data'!$B$8:$N$50,7,0)*100)</f>
        <v>100</v>
      </c>
      <c r="G8" s="180">
        <f>(VLOOKUP(A8,'3. Weekly raw data'!$B$8:$N$50,8,0)/VLOOKUP(A8,'3. Weekly raw data'!$B$8:$N$50,6,0)*100)</f>
        <v>1.538461538</v>
      </c>
      <c r="H8" s="192">
        <f>VLOOKUP(A8,'3. Weekly raw data'!$B$8:$N$50,9,0)/VLOOKUP(A8,'3. Weekly raw data'!$B$8:$N$50,10,0)*100</f>
        <v>95.45454545</v>
      </c>
      <c r="I8" s="37"/>
    </row>
    <row r="9" ht="15.75" customHeight="1">
      <c r="A9" s="132">
        <v>3.0</v>
      </c>
      <c r="B9" s="153">
        <f>'3. Weekly raw data'!C10</f>
        <v>45372</v>
      </c>
      <c r="C9" s="153">
        <f>'3. Weekly raw data'!D10</f>
        <v>45378</v>
      </c>
      <c r="D9" s="180">
        <f>VLOOKUP(A9,'3. Weekly raw data'!$B$8:$N$50,4,0)/(VLOOKUP(A9,'3. Weekly raw data'!$B$8:$N$50,6,0))</f>
        <v>0.003125</v>
      </c>
      <c r="E9" s="180">
        <f>Iferror(VLOOKUP(A9,'3. Weekly raw data'!$B$8:$N$50,5,0)/(VLOOKUP(A9,'3. Weekly raw data'!$B$8:$N$50,4,0)+VLOOKUP(A9,'3. Weekly raw data'!$B$8:$N$50,5,0)),"")</f>
        <v>0</v>
      </c>
      <c r="F9" s="180">
        <f>(VLOOKUP(A9,'3. Weekly raw data'!$B$8:$N$50,6,0)/VLOOKUP(A9,'3. Weekly raw data'!$B$8:$N$50,7,0)*100)</f>
        <v>100</v>
      </c>
      <c r="G9" s="180">
        <f>(VLOOKUP(A9,'3. Weekly raw data'!$B$8:$N$50,8,0)/VLOOKUP(A9,'3. Weekly raw data'!$B$8:$N$50,6,0)*100)</f>
        <v>37.5</v>
      </c>
      <c r="H9" s="192">
        <f>VLOOKUP(A9,'3. Weekly raw data'!$B$8:$N$50,9,0)/VLOOKUP(A9,'3. Weekly raw data'!$B$8:$N$50,10,0)*100</f>
        <v>88.23529412</v>
      </c>
      <c r="I9" s="194" t="s">
        <v>119</v>
      </c>
    </row>
    <row r="10" ht="15.75" customHeight="1">
      <c r="A10" s="132">
        <v>4.0</v>
      </c>
      <c r="B10" s="153">
        <f>'3. Weekly raw data'!C11</f>
        <v>45379</v>
      </c>
      <c r="C10" s="153">
        <f>'3. Weekly raw data'!D11</f>
        <v>45385</v>
      </c>
      <c r="D10" s="180">
        <f>VLOOKUP(A10,'3. Weekly raw data'!$B$8:$N$50,4,0)/(VLOOKUP(A10,'3. Weekly raw data'!$B$8:$N$50,6,0))</f>
        <v>0.1666666667</v>
      </c>
      <c r="E10" s="180">
        <f>Iferror(VLOOKUP(A10,'3. Weekly raw data'!$B$8:$N$50,5,0)/(VLOOKUP(A10,'3. Weekly raw data'!$B$8:$N$50,4,0)+VLOOKUP(A10,'3. Weekly raw data'!$B$8:$N$50,5,0)),"")</f>
        <v>0</v>
      </c>
      <c r="F10" s="180">
        <f>(VLOOKUP(A10,'3. Weekly raw data'!$B$8:$N$50,6,0)/VLOOKUP(A10,'3. Weekly raw data'!$B$8:$N$50,7,0)*100)</f>
        <v>120</v>
      </c>
      <c r="G10" s="180">
        <f>(VLOOKUP(A10,'3. Weekly raw data'!$B$8:$N$50,8,0)/VLOOKUP(A10,'3. Weekly raw data'!$B$8:$N$50,6,0)*100)</f>
        <v>175</v>
      </c>
      <c r="H10" s="192">
        <f>VLOOKUP(A10,'3. Weekly raw data'!$B$8:$N$50,9,0)/VLOOKUP(A10,'3. Weekly raw data'!$B$8:$N$50,10,0)*100</f>
        <v>100</v>
      </c>
      <c r="I10" s="37"/>
    </row>
    <row r="11" ht="15.75" customHeight="1">
      <c r="A11" s="132">
        <v>5.0</v>
      </c>
      <c r="B11" s="153">
        <f>'3. Weekly raw data'!C12</f>
        <v>45386</v>
      </c>
      <c r="C11" s="153">
        <f>'3. Weekly raw data'!D12</f>
        <v>45392</v>
      </c>
      <c r="D11" s="180">
        <f>VLOOKUP(A11,'3. Weekly raw data'!$B$8:$N$50,4,0)/(VLOOKUP(A11,'3. Weekly raw data'!$B$8:$N$50,6,0))</f>
        <v>0.09090909091</v>
      </c>
      <c r="E11" s="180">
        <f>Iferror(VLOOKUP(A11,'3. Weekly raw data'!$B$8:$N$50,5,0)/(VLOOKUP(A11,'3. Weekly raw data'!$B$8:$N$50,4,0)+VLOOKUP(A11,'3. Weekly raw data'!$B$8:$N$50,5,0)),"")</f>
        <v>0.8333333333</v>
      </c>
      <c r="F11" s="180">
        <f>(VLOOKUP(A11,'3. Weekly raw data'!$B$8:$N$50,6,0)/VLOOKUP(A11,'3. Weekly raw data'!$B$8:$N$50,7,0)*100)</f>
        <v>36.66666667</v>
      </c>
      <c r="G11" s="180">
        <f>(VLOOKUP(A11,'3. Weekly raw data'!$B$8:$N$50,8,0)/VLOOKUP(A11,'3. Weekly raw data'!$B$8:$N$50,6,0)*100)</f>
        <v>1009.090909</v>
      </c>
      <c r="H11" s="192">
        <f>VLOOKUP(A11,'3. Weekly raw data'!$B$8:$N$50,9,0)/VLOOKUP(A11,'3. Weekly raw data'!$B$8:$N$50,10,0)*100</f>
        <v>94.44444444</v>
      </c>
      <c r="I11" s="37"/>
    </row>
    <row r="12" ht="15.75" customHeight="1">
      <c r="A12" s="132">
        <v>6.0</v>
      </c>
      <c r="B12" s="153">
        <f>'3. Weekly raw data'!C13</f>
        <v>45393</v>
      </c>
      <c r="C12" s="153">
        <f>'3. Weekly raw data'!D13</f>
        <v>45399</v>
      </c>
      <c r="D12" s="180">
        <f>VLOOKUP(A12,'3. Weekly raw data'!$B$8:$N$50,4,0)/(VLOOKUP(A12,'3. Weekly raw data'!$B$8:$N$50,6,0))</f>
        <v>0.008333333333</v>
      </c>
      <c r="E12" s="180">
        <f>Iferror(VLOOKUP(A12,'3. Weekly raw data'!$B$8:$N$50,5,0)/(VLOOKUP(A12,'3. Weekly raw data'!$B$8:$N$50,4,0)+VLOOKUP(A12,'3. Weekly raw data'!$B$8:$N$50,5,0)),"")</f>
        <v>0.9090909091</v>
      </c>
      <c r="F12" s="180">
        <f>(VLOOKUP(A12,'3. Weekly raw data'!$B$8:$N$50,6,0)/VLOOKUP(A12,'3. Weekly raw data'!$B$8:$N$50,7,0)*100)</f>
        <v>80</v>
      </c>
      <c r="G12" s="180">
        <f>(VLOOKUP(A12,'3. Weekly raw data'!$B$8:$N$50,8,0)/VLOOKUP(A12,'3. Weekly raw data'!$B$8:$N$50,6,0)*100)</f>
        <v>25</v>
      </c>
      <c r="H12" s="192">
        <f>VLOOKUP(A12,'3. Weekly raw data'!$B$8:$N$50,9,0)/VLOOKUP(A12,'3. Weekly raw data'!$B$8:$N$50,10,0)*100</f>
        <v>100</v>
      </c>
      <c r="I12" s="37"/>
    </row>
    <row r="13" ht="15.75" customHeight="1">
      <c r="A13" s="132">
        <v>7.0</v>
      </c>
      <c r="B13" s="153">
        <f>'3. Weekly raw data'!C14</f>
        <v>45400</v>
      </c>
      <c r="C13" s="153">
        <f>'3. Weekly raw data'!D14</f>
        <v>45406</v>
      </c>
      <c r="D13" s="180">
        <f>VLOOKUP(A13,'3. Weekly raw data'!$B$8:$N$50,4,0)/(VLOOKUP(A13,'3. Weekly raw data'!$B$8:$N$50,6,0))</f>
        <v>0.03448275862</v>
      </c>
      <c r="E13" s="180">
        <f>Iferror(VLOOKUP(A13,'3. Weekly raw data'!$B$8:$N$50,5,0)/(VLOOKUP(A13,'3. Weekly raw data'!$B$8:$N$50,4,0)+VLOOKUP(A13,'3. Weekly raw data'!$B$8:$N$50,5,0)),"")</f>
        <v>0</v>
      </c>
      <c r="F13" s="180">
        <f>(VLOOKUP(A13,'3. Weekly raw data'!$B$8:$N$50,6,0)/VLOOKUP(A13,'3. Weekly raw data'!$B$8:$N$50,7,0)*100)</f>
        <v>107.4074074</v>
      </c>
      <c r="G13" s="180">
        <f>(VLOOKUP(A13,'3. Weekly raw data'!$B$8:$N$50,8,0)/VLOOKUP(A13,'3. Weekly raw data'!$B$8:$N$50,6,0)*100)</f>
        <v>0</v>
      </c>
      <c r="H13" s="192">
        <f>VLOOKUP(A13,'3. Weekly raw data'!$B$8:$N$50,9,0)/VLOOKUP(A13,'3. Weekly raw data'!$B$8:$N$50,10,0)*100</f>
        <v>100</v>
      </c>
      <c r="I13" s="37"/>
    </row>
    <row r="14" ht="15.75" customHeight="1">
      <c r="A14" s="132">
        <v>8.0</v>
      </c>
      <c r="B14" s="153">
        <f>'3. Weekly raw data'!C15</f>
        <v>45407</v>
      </c>
      <c r="C14" s="153">
        <f>'3. Weekly raw data'!D15</f>
        <v>45420</v>
      </c>
      <c r="D14" s="180">
        <f>VLOOKUP(A14,'3. Weekly raw data'!$B$8:$N$50,4,0)/(VLOOKUP(A14,'3. Weekly raw data'!$B$8:$N$50,6,0))</f>
        <v>0</v>
      </c>
      <c r="E14" s="180" t="str">
        <f>Iferror(VLOOKUP(A14,'3. Weekly raw data'!$B$8:$N$50,5,0)/(VLOOKUP(A14,'3. Weekly raw data'!$B$8:$N$50,4,0)+VLOOKUP(A14,'3. Weekly raw data'!$B$8:$N$50,5,0)),"")</f>
        <v/>
      </c>
      <c r="F14" s="180">
        <f>(VLOOKUP(A14,'3. Weekly raw data'!$B$8:$N$50,6,0)/VLOOKUP(A14,'3. Weekly raw data'!$B$8:$N$50,7,0)*100)</f>
        <v>97.10144928</v>
      </c>
      <c r="G14" s="180">
        <f>(VLOOKUP(A14,'3. Weekly raw data'!$B$8:$N$50,8,0)/VLOOKUP(A14,'3. Weekly raw data'!$B$8:$N$50,6,0)*100)</f>
        <v>0</v>
      </c>
      <c r="H14" s="192">
        <f>VLOOKUP(A14,'3. Weekly raw data'!$B$8:$N$50,9,0)/VLOOKUP(A14,'3. Weekly raw data'!$B$8:$N$50,10,0)*100</f>
        <v>93.33333333</v>
      </c>
      <c r="I14" s="37"/>
    </row>
    <row r="15">
      <c r="A15" s="132">
        <v>9.0</v>
      </c>
      <c r="B15" s="153">
        <f>'3. Weekly raw data'!C16</f>
        <v>45420</v>
      </c>
      <c r="C15" s="153">
        <f>'3. Weekly raw data'!D16</f>
        <v>45427</v>
      </c>
      <c r="D15" s="180">
        <f>VLOOKUP(A15,'3. Weekly raw data'!$B$8:$N$50,4,0)/(VLOOKUP(A15,'3. Weekly raw data'!$B$8:$N$50,6,0))</f>
        <v>0.02597402597</v>
      </c>
      <c r="E15" s="180">
        <f>Iferror(VLOOKUP(A15,'3. Weekly raw data'!$B$8:$N$50,5,0)/(VLOOKUP(A15,'3. Weekly raw data'!$B$8:$N$50,4,0)+VLOOKUP(A15,'3. Weekly raw data'!$B$8:$N$50,5,0)),"")</f>
        <v>0</v>
      </c>
      <c r="F15" s="180">
        <f>(VLOOKUP(A15,'3. Weekly raw data'!$B$8:$N$50,6,0)/VLOOKUP(A15,'3. Weekly raw data'!$B$8:$N$50,7,0)*100)</f>
        <v>113.2352941</v>
      </c>
      <c r="G15" s="180">
        <f>(VLOOKUP(A15,'3. Weekly raw data'!$B$8:$N$50,8,0)/VLOOKUP(A15,'3. Weekly raw data'!$B$8:$N$50,6,0)*100)</f>
        <v>5.194805195</v>
      </c>
      <c r="H15" s="192">
        <f>VLOOKUP(A15,'3. Weekly raw data'!$B$8:$N$50,9,0)/VLOOKUP(A15,'3. Weekly raw data'!$B$8:$N$50,10,0)*100</f>
        <v>87.5</v>
      </c>
      <c r="I15" s="194" t="s">
        <v>128</v>
      </c>
    </row>
    <row r="16" ht="15.75" customHeight="1">
      <c r="A16" s="132">
        <v>10.0</v>
      </c>
      <c r="B16" s="153">
        <f>'3. Weekly raw data'!C17</f>
        <v>45427</v>
      </c>
      <c r="C16" s="153">
        <f>'3. Weekly raw data'!D17</f>
        <v>45434</v>
      </c>
      <c r="D16" s="180">
        <f>VLOOKUP(A16,'3. Weekly raw data'!$B$8:$N$50,4,0)/(VLOOKUP(A16,'3. Weekly raw data'!$B$8:$N$50,6,0))</f>
        <v>0</v>
      </c>
      <c r="E16" s="180" t="str">
        <f>Iferror(VLOOKUP(A16,'3. Weekly raw data'!$B$8:$N$50,5,0)/(VLOOKUP(A16,'3. Weekly raw data'!$B$8:$N$50,4,0)+VLOOKUP(A16,'3. Weekly raw data'!$B$8:$N$50,5,0)),"")</f>
        <v/>
      </c>
      <c r="F16" s="180">
        <f>(VLOOKUP(A16,'3. Weekly raw data'!$B$8:$N$50,6,0)/VLOOKUP(A16,'3. Weekly raw data'!$B$8:$N$50,7,0)*100)</f>
        <v>97.18309859</v>
      </c>
      <c r="G16" s="180">
        <f>(VLOOKUP(A16,'3. Weekly raw data'!$B$8:$N$50,8,0)/VLOOKUP(A16,'3. Weekly raw data'!$B$8:$N$50,6,0)*100)</f>
        <v>0</v>
      </c>
      <c r="H16" s="192">
        <f>VLOOKUP(A16,'3. Weekly raw data'!$B$8:$N$50,9,0)/VLOOKUP(A16,'3. Weekly raw data'!$B$8:$N$50,10,0)*100</f>
        <v>100</v>
      </c>
      <c r="I16" s="37"/>
    </row>
    <row r="17" ht="15.75" customHeight="1">
      <c r="A17" s="132">
        <v>11.0</v>
      </c>
      <c r="B17" s="153">
        <f>'3. Weekly raw data'!C18</f>
        <v>45434</v>
      </c>
      <c r="C17" s="153">
        <f>'3. Weekly raw data'!D18</f>
        <v>45441</v>
      </c>
      <c r="D17" s="180">
        <f>VLOOKUP(A17,'3. Weekly raw data'!$B$8:$N$50,4,0)/(VLOOKUP(A17,'3. Weekly raw data'!$B$8:$N$50,6,0))</f>
        <v>0</v>
      </c>
      <c r="E17" s="180" t="str">
        <f>Iferror(VLOOKUP(A17,'3. Weekly raw data'!$B$8:$N$50,5,0)/(VLOOKUP(A17,'3. Weekly raw data'!$B$8:$N$50,4,0)+VLOOKUP(A17,'3. Weekly raw data'!$B$8:$N$50,5,0)),"")</f>
        <v/>
      </c>
      <c r="F17" s="180">
        <f>(VLOOKUP(A17,'3. Weekly raw data'!$B$8:$N$50,6,0)/VLOOKUP(A17,'3. Weekly raw data'!$B$8:$N$50,7,0)*100)</f>
        <v>89.39393939</v>
      </c>
      <c r="G17" s="180">
        <f>(VLOOKUP(A17,'3. Weekly raw data'!$B$8:$N$50,8,0)/VLOOKUP(A17,'3. Weekly raw data'!$B$8:$N$50,6,0)*100)</f>
        <v>0</v>
      </c>
      <c r="H17" s="192">
        <f>VLOOKUP(A17,'3. Weekly raw data'!$B$8:$N$50,9,0)/VLOOKUP(A17,'3. Weekly raw data'!$B$8:$N$50,10,0)*100</f>
        <v>100</v>
      </c>
      <c r="I17" s="37"/>
    </row>
    <row r="18" ht="15.75" customHeight="1">
      <c r="A18" s="132">
        <v>12.0</v>
      </c>
      <c r="B18" s="153">
        <f>'3. Weekly raw data'!C19</f>
        <v>45441</v>
      </c>
      <c r="C18" s="153">
        <f>'3. Weekly raw data'!D19</f>
        <v>45448</v>
      </c>
      <c r="D18" s="180">
        <f>VLOOKUP(A18,'3. Weekly raw data'!$B$8:$N$50,4,0)/(VLOOKUP(A18,'3. Weekly raw data'!$B$8:$N$50,6,0))</f>
        <v>0.03703703704</v>
      </c>
      <c r="E18" s="180">
        <f>Iferror(VLOOKUP(A18,'3. Weekly raw data'!$B$8:$N$50,5,0)/(VLOOKUP(A18,'3. Weekly raw data'!$B$8:$N$50,4,0)+VLOOKUP(A18,'3. Weekly raw data'!$B$8:$N$50,5,0)),"")</f>
        <v>0</v>
      </c>
      <c r="F18" s="180">
        <f>(VLOOKUP(A18,'3. Weekly raw data'!$B$8:$N$50,6,0)/VLOOKUP(A18,'3. Weekly raw data'!$B$8:$N$50,7,0)*100)</f>
        <v>93.10344828</v>
      </c>
      <c r="G18" s="180">
        <f>(VLOOKUP(A18,'3. Weekly raw data'!$B$8:$N$50,8,0)/VLOOKUP(A18,'3. Weekly raw data'!$B$8:$N$50,6,0)*100)</f>
        <v>7.407407407</v>
      </c>
      <c r="H18" s="192">
        <f>VLOOKUP(A18,'3. Weekly raw data'!$B$8:$N$50,9,0)/VLOOKUP(A18,'3. Weekly raw data'!$B$8:$N$50,10,0)*100</f>
        <v>92.30769231</v>
      </c>
      <c r="I18" s="37"/>
    </row>
    <row r="19" ht="15.75" customHeight="1">
      <c r="A19" s="132">
        <v>13.0</v>
      </c>
      <c r="B19" s="153">
        <f>'3. Weekly raw data'!C20</f>
        <v>45448</v>
      </c>
      <c r="C19" s="153">
        <f>'3. Weekly raw data'!D20</f>
        <v>45455</v>
      </c>
      <c r="D19" s="180">
        <f>VLOOKUP(A19,'3. Weekly raw data'!$B$8:$N$50,4,0)/(VLOOKUP(A19,'3. Weekly raw data'!$B$8:$N$50,6,0))</f>
        <v>0.02985074627</v>
      </c>
      <c r="E19" s="180">
        <f>Iferror(VLOOKUP(A19,'3. Weekly raw data'!$B$8:$N$50,5,0)/(VLOOKUP(A19,'3. Weekly raw data'!$B$8:$N$50,4,0)+VLOOKUP(A19,'3. Weekly raw data'!$B$8:$N$50,5,0)),"")</f>
        <v>0</v>
      </c>
      <c r="F19" s="180">
        <f>(VLOOKUP(A19,'3. Weekly raw data'!$B$8:$N$50,6,0)/VLOOKUP(A19,'3. Weekly raw data'!$B$8:$N$50,7,0)*100)</f>
        <v>95.71428571</v>
      </c>
      <c r="G19" s="180">
        <f>(VLOOKUP(A19,'3. Weekly raw data'!$B$8:$N$50,8,0)/VLOOKUP(A19,'3. Weekly raw data'!$B$8:$N$50,6,0)*100)</f>
        <v>2.985074627</v>
      </c>
      <c r="H19" s="192">
        <f>VLOOKUP(A19,'3. Weekly raw data'!$B$8:$N$50,9,0)/VLOOKUP(A19,'3. Weekly raw data'!$B$8:$N$50,10,0)*100</f>
        <v>100</v>
      </c>
      <c r="I19" s="37"/>
    </row>
    <row r="20" ht="15.75" customHeight="1">
      <c r="A20" s="132">
        <v>14.0</v>
      </c>
      <c r="B20" s="153">
        <f>'3. Weekly raw data'!C21</f>
        <v>45455</v>
      </c>
      <c r="C20" s="153">
        <f>'3. Weekly raw data'!D21</f>
        <v>45462</v>
      </c>
      <c r="D20" s="180">
        <f>VLOOKUP(A20,'3. Weekly raw data'!$B$8:$N$50,4,0)/(VLOOKUP(A20,'3. Weekly raw data'!$B$8:$N$50,6,0))</f>
        <v>0</v>
      </c>
      <c r="E20" s="180" t="str">
        <f>Iferror(VLOOKUP(A20,'3. Weekly raw data'!$B$8:$N$50,5,0)/(VLOOKUP(A20,'3. Weekly raw data'!$B$8:$N$50,4,0)+VLOOKUP(A20,'3. Weekly raw data'!$B$8:$N$50,5,0)),"")</f>
        <v/>
      </c>
      <c r="F20" s="180">
        <f>(VLOOKUP(A20,'3. Weekly raw data'!$B$8:$N$50,6,0)/VLOOKUP(A20,'3. Weekly raw data'!$B$8:$N$50,7,0)*100)</f>
        <v>100</v>
      </c>
      <c r="G20" s="180">
        <f>(VLOOKUP(A20,'3. Weekly raw data'!$B$8:$N$50,8,0)/VLOOKUP(A20,'3. Weekly raw data'!$B$8:$N$50,6,0)*100)</f>
        <v>0</v>
      </c>
      <c r="H20" s="192">
        <f>VLOOKUP(A20,'3. Weekly raw data'!$B$8:$N$50,9,0)/VLOOKUP(A20,'3. Weekly raw data'!$B$8:$N$50,10,0)*100</f>
        <v>100</v>
      </c>
      <c r="I20" s="37"/>
    </row>
    <row r="21" ht="15.75" customHeight="1">
      <c r="A21" s="132">
        <v>15.0</v>
      </c>
      <c r="B21" s="153">
        <f>'3. Weekly raw data'!C22</f>
        <v>45462</v>
      </c>
      <c r="C21" s="153">
        <f>'3. Weekly raw data'!D22</f>
        <v>45469</v>
      </c>
      <c r="D21" s="180">
        <f>VLOOKUP(A21,'3. Weekly raw data'!$B$8:$N$50,4,0)/(VLOOKUP(A21,'3. Weekly raw data'!$B$8:$N$50,6,0))</f>
        <v>0</v>
      </c>
      <c r="E21" s="180" t="str">
        <f>Iferror(VLOOKUP(A21,'3. Weekly raw data'!$B$8:$N$50,5,0)/(VLOOKUP(A21,'3. Weekly raw data'!$B$8:$N$50,4,0)+VLOOKUP(A21,'3. Weekly raw data'!$B$8:$N$50,5,0)),"")</f>
        <v/>
      </c>
      <c r="F21" s="180">
        <f>(VLOOKUP(A21,'3. Weekly raw data'!$B$8:$N$50,6,0)/VLOOKUP(A21,'3. Weekly raw data'!$B$8:$N$50,7,0)*100)</f>
        <v>105.5555556</v>
      </c>
      <c r="G21" s="180">
        <f>(VLOOKUP(A21,'3. Weekly raw data'!$B$8:$N$50,8,0)/VLOOKUP(A21,'3. Weekly raw data'!$B$8:$N$50,6,0)*100)</f>
        <v>0</v>
      </c>
      <c r="H21" s="192">
        <f>VLOOKUP(A21,'3. Weekly raw data'!$B$8:$N$50,9,0)/VLOOKUP(A21,'3. Weekly raw data'!$B$8:$N$50,10,0)*100</f>
        <v>100</v>
      </c>
      <c r="I21" s="37"/>
    </row>
    <row r="22" ht="15.75" customHeight="1">
      <c r="A22" s="132">
        <v>16.0</v>
      </c>
      <c r="B22" s="153">
        <f>'3. Weekly raw data'!C23</f>
        <v>45469</v>
      </c>
      <c r="C22" s="153">
        <f>'3. Weekly raw data'!D23</f>
        <v>45476</v>
      </c>
      <c r="D22" s="180">
        <f>VLOOKUP(A22,'3. Weekly raw data'!$B$8:$N$50,4,0)/(VLOOKUP(A22,'3. Weekly raw data'!$B$8:$N$50,6,0))</f>
        <v>0</v>
      </c>
      <c r="E22" s="180" t="str">
        <f>Iferror(VLOOKUP(A22,'3. Weekly raw data'!$B$8:$N$50,5,0)/(VLOOKUP(A22,'3. Weekly raw data'!$B$8:$N$50,4,0)+VLOOKUP(A22,'3. Weekly raw data'!$B$8:$N$50,5,0)),"")</f>
        <v/>
      </c>
      <c r="F22" s="180">
        <f>(VLOOKUP(A22,'3. Weekly raw data'!$B$8:$N$50,6,0)/VLOOKUP(A22,'3. Weekly raw data'!$B$8:$N$50,7,0)*100)</f>
        <v>98.24561404</v>
      </c>
      <c r="G22" s="180">
        <f>(VLOOKUP(A22,'3. Weekly raw data'!$B$8:$N$50,8,0)/VLOOKUP(A22,'3. Weekly raw data'!$B$8:$N$50,6,0)*100)</f>
        <v>0</v>
      </c>
      <c r="H22" s="192">
        <f>VLOOKUP(A22,'3. Weekly raw data'!$B$8:$N$50,9,0)/VLOOKUP(A22,'3. Weekly raw data'!$B$8:$N$50,10,0)*100</f>
        <v>100</v>
      </c>
      <c r="I22" s="37"/>
    </row>
    <row r="23" ht="15.75" customHeight="1">
      <c r="A23" s="132">
        <v>17.0</v>
      </c>
      <c r="B23" s="153">
        <f>'3. Weekly raw data'!C24</f>
        <v>45476</v>
      </c>
      <c r="C23" s="153">
        <f>'3. Weekly raw data'!D24</f>
        <v>45483</v>
      </c>
      <c r="D23" s="180">
        <f>VLOOKUP(A23,'3. Weekly raw data'!$B$8:$N$50,4,0)/(VLOOKUP(A23,'3. Weekly raw data'!$B$8:$N$50,6,0))</f>
        <v>0</v>
      </c>
      <c r="E23" s="180" t="str">
        <f>Iferror(VLOOKUP(A23,'3. Weekly raw data'!$B$8:$N$50,5,0)/(VLOOKUP(A23,'3. Weekly raw data'!$B$8:$N$50,4,0)+VLOOKUP(A23,'3. Weekly raw data'!$B$8:$N$50,5,0)),"")</f>
        <v/>
      </c>
      <c r="F23" s="180">
        <f>(VLOOKUP(A23,'3. Weekly raw data'!$B$8:$N$50,6,0)/VLOOKUP(A23,'3. Weekly raw data'!$B$8:$N$50,7,0)*100)</f>
        <v>108.974359</v>
      </c>
      <c r="G23" s="180">
        <f>(VLOOKUP(A23,'3. Weekly raw data'!$B$8:$N$50,8,0)/VLOOKUP(A23,'3. Weekly raw data'!$B$8:$N$50,6,0)*100)</f>
        <v>0</v>
      </c>
      <c r="H23" s="192">
        <f>VLOOKUP(A23,'3. Weekly raw data'!$B$8:$N$50,9,0)/VLOOKUP(A23,'3. Weekly raw data'!$B$8:$N$50,10,0)*100</f>
        <v>100</v>
      </c>
      <c r="I23" s="37"/>
    </row>
    <row r="24" ht="15.75" customHeight="1">
      <c r="A24" s="132">
        <v>18.0</v>
      </c>
      <c r="B24" s="153">
        <f>'3. Weekly raw data'!C25</f>
        <v>45483</v>
      </c>
      <c r="C24" s="153">
        <f>'3. Weekly raw data'!D25</f>
        <v>45490</v>
      </c>
      <c r="D24" s="180">
        <f>VLOOKUP(A24,'3. Weekly raw data'!$B$8:$N$50,4,0)/(VLOOKUP(A24,'3. Weekly raw data'!$B$8:$N$50,6,0))</f>
        <v>0.1071428571</v>
      </c>
      <c r="E24" s="180">
        <f>Iferror(VLOOKUP(A24,'3. Weekly raw data'!$B$8:$N$50,5,0)/(VLOOKUP(A24,'3. Weekly raw data'!$B$8:$N$50,4,0)+VLOOKUP(A24,'3. Weekly raw data'!$B$8:$N$50,5,0)),"")</f>
        <v>0</v>
      </c>
      <c r="F24" s="180">
        <f>(VLOOKUP(A24,'3. Weekly raw data'!$B$8:$N$50,6,0)/VLOOKUP(A24,'3. Weekly raw data'!$B$8:$N$50,7,0)*100)</f>
        <v>96.55172414</v>
      </c>
      <c r="G24" s="180">
        <f>(VLOOKUP(A24,'3. Weekly raw data'!$B$8:$N$50,8,0)/VLOOKUP(A24,'3. Weekly raw data'!$B$8:$N$50,6,0)*100)</f>
        <v>17.85714286</v>
      </c>
      <c r="H24" s="192">
        <f>VLOOKUP(A24,'3. Weekly raw data'!$B$8:$N$50,9,0)/VLOOKUP(A24,'3. Weekly raw data'!$B$8:$N$50,10,0)*100</f>
        <v>100</v>
      </c>
      <c r="I24" s="37"/>
    </row>
    <row r="25" ht="15.75" customHeight="1">
      <c r="A25" s="132">
        <v>19.0</v>
      </c>
      <c r="B25" s="153">
        <f>'3. Weekly raw data'!C26</f>
        <v>45490</v>
      </c>
      <c r="C25" s="153">
        <f>'3. Weekly raw data'!D26</f>
        <v>45497</v>
      </c>
      <c r="D25" s="180">
        <f>VLOOKUP(A25,'3. Weekly raw data'!$B$8:$N$50,4,0)/(VLOOKUP(A25,'3. Weekly raw data'!$B$8:$N$50,6,0))</f>
        <v>0.09230769231</v>
      </c>
      <c r="E25" s="180">
        <f>Iferror(VLOOKUP(A25,'3. Weekly raw data'!$B$8:$N$50,5,0)/(VLOOKUP(A25,'3. Weekly raw data'!$B$8:$N$50,4,0)+VLOOKUP(A25,'3. Weekly raw data'!$B$8:$N$50,5,0)),"")</f>
        <v>0</v>
      </c>
      <c r="F25" s="180">
        <f>(VLOOKUP(A25,'3. Weekly raw data'!$B$8:$N$50,6,0)/VLOOKUP(A25,'3. Weekly raw data'!$B$8:$N$50,7,0)*100)</f>
        <v>110.1694915</v>
      </c>
      <c r="G25" s="180">
        <f>(VLOOKUP(A25,'3. Weekly raw data'!$B$8:$N$50,8,0)/VLOOKUP(A25,'3. Weekly raw data'!$B$8:$N$50,6,0)*100)</f>
        <v>12.30769231</v>
      </c>
      <c r="H25" s="192">
        <f>VLOOKUP(A25,'3. Weekly raw data'!$B$8:$N$50,9,0)/VLOOKUP(A25,'3. Weekly raw data'!$B$8:$N$50,10,0)*100</f>
        <v>85.71428571</v>
      </c>
      <c r="I25" s="194" t="s">
        <v>129</v>
      </c>
    </row>
    <row r="26" ht="15.75" customHeight="1">
      <c r="A26" s="132">
        <v>20.0</v>
      </c>
      <c r="B26" s="153">
        <f>'3. Weekly raw data'!C27</f>
        <v>45497</v>
      </c>
      <c r="C26" s="153">
        <f>'3. Weekly raw data'!D27</f>
        <v>45505</v>
      </c>
      <c r="D26" s="180">
        <f>VLOOKUP(A26,'3. Weekly raw data'!$B$8:$N$50,4,0)/(VLOOKUP(A26,'3. Weekly raw data'!$B$8:$N$50,6,0))</f>
        <v>0.02777777778</v>
      </c>
      <c r="E26" s="180">
        <f>Iferror(VLOOKUP(A26,'3. Weekly raw data'!$B$8:$N$50,5,0)/(VLOOKUP(A26,'3. Weekly raw data'!$B$8:$N$50,4,0)+VLOOKUP(A26,'3. Weekly raw data'!$B$8:$N$50,5,0)),"")</f>
        <v>0</v>
      </c>
      <c r="F26" s="180">
        <f>(VLOOKUP(A26,'3. Weekly raw data'!$B$8:$N$50,6,0)/VLOOKUP(A26,'3. Weekly raw data'!$B$8:$N$50,7,0)*100)</f>
        <v>93.50649351</v>
      </c>
      <c r="G26" s="180">
        <f>(VLOOKUP(A26,'3. Weekly raw data'!$B$8:$N$50,8,0)/VLOOKUP(A26,'3. Weekly raw data'!$B$8:$N$50,6,0)*100)</f>
        <v>2.777777778</v>
      </c>
      <c r="H26" s="192">
        <f>VLOOKUP(A26,'3. Weekly raw data'!$B$8:$N$50,9,0)/VLOOKUP(A26,'3. Weekly raw data'!$B$8:$N$50,10,0)*100</f>
        <v>100</v>
      </c>
      <c r="I26" s="37"/>
    </row>
    <row r="27" ht="15.75" customHeight="1">
      <c r="A27" s="132">
        <v>21.0</v>
      </c>
      <c r="B27" s="153">
        <f>'3. Weekly raw data'!C28</f>
        <v>45505</v>
      </c>
      <c r="C27" s="153">
        <f>'3. Weekly raw data'!D28</f>
        <v>45518</v>
      </c>
      <c r="D27" s="180">
        <f>VLOOKUP(A27,'3. Weekly raw data'!$B$8:$N$50,4,0)/(VLOOKUP(A27,'3. Weekly raw data'!$B$8:$N$50,6,0))</f>
        <v>0.03846153846</v>
      </c>
      <c r="E27" s="180">
        <f>Iferror(VLOOKUP(A27,'3. Weekly raw data'!$B$8:$N$50,5,0)/(VLOOKUP(A27,'3. Weekly raw data'!$B$8:$N$50,4,0)+VLOOKUP(A27,'3. Weekly raw data'!$B$8:$N$50,5,0)),"")</f>
        <v>0</v>
      </c>
      <c r="F27" s="180">
        <f>(VLOOKUP(A27,'3. Weekly raw data'!$B$8:$N$50,6,0)/VLOOKUP(A27,'3. Weekly raw data'!$B$8:$N$50,7,0)*100)</f>
        <v>111.827957</v>
      </c>
      <c r="G27" s="180">
        <f>(VLOOKUP(A27,'3. Weekly raw data'!$B$8:$N$50,8,0)/VLOOKUP(A27,'3. Weekly raw data'!$B$8:$N$50,6,0)*100)</f>
        <v>6.730769231</v>
      </c>
      <c r="H27" s="192">
        <f>VLOOKUP(A27,'3. Weekly raw data'!$B$8:$N$50,9,0)/VLOOKUP(A27,'3. Weekly raw data'!$B$8:$N$50,10,0)*100</f>
        <v>88</v>
      </c>
      <c r="I27" s="6" t="s">
        <v>130</v>
      </c>
    </row>
    <row r="28">
      <c r="A28" s="132">
        <v>22.0</v>
      </c>
      <c r="B28" s="153">
        <f>'3. Weekly raw data'!C29</f>
        <v>45518</v>
      </c>
      <c r="C28" s="153">
        <f>'3. Weekly raw data'!D29</f>
        <v>45525</v>
      </c>
      <c r="D28" s="180">
        <f>VLOOKUP(A28,'3. Weekly raw data'!$B$8:$N$50,4,0)/(VLOOKUP(A28,'3. Weekly raw data'!$B$8:$N$50,6,0))</f>
        <v>0.075</v>
      </c>
      <c r="E28" s="180">
        <f>Iferror(VLOOKUP(A28,'3. Weekly raw data'!$B$8:$N$50,5,0)/(VLOOKUP(A28,'3. Weekly raw data'!$B$8:$N$50,4,0)+VLOOKUP(A28,'3. Weekly raw data'!$B$8:$N$50,5,0)),"")</f>
        <v>0</v>
      </c>
      <c r="F28" s="180">
        <f>(VLOOKUP(A28,'3. Weekly raw data'!$B$8:$N$50,6,0)/VLOOKUP(A28,'3. Weekly raw data'!$B$8:$N$50,7,0)*100)</f>
        <v>114.2857143</v>
      </c>
      <c r="G28" s="180">
        <f>(VLOOKUP(A28,'3. Weekly raw data'!$B$8:$N$50,8,0)/VLOOKUP(A28,'3. Weekly raw data'!$B$8:$N$50,6,0)*100)</f>
        <v>8.75</v>
      </c>
      <c r="H28" s="192">
        <f>VLOOKUP(A28,'3. Weekly raw data'!$B$8:$N$50,9,0)/VLOOKUP(A28,'3. Weekly raw data'!$B$8:$N$50,10,0)*100</f>
        <v>100</v>
      </c>
      <c r="I28" s="194" t="s">
        <v>132</v>
      </c>
    </row>
    <row r="29" ht="15.75" customHeight="1">
      <c r="A29" s="132">
        <v>23.0</v>
      </c>
      <c r="B29" s="153">
        <f>'3. Weekly raw data'!C30</f>
        <v>45525</v>
      </c>
      <c r="C29" s="153">
        <f>'3. Weekly raw data'!D30</f>
        <v>45532</v>
      </c>
      <c r="D29" s="180">
        <f>VLOOKUP(A29,'3. Weekly raw data'!$B$8:$N$50,4,0)/(VLOOKUP(A29,'3. Weekly raw data'!$B$8:$N$50,6,0))</f>
        <v>0.05128205128</v>
      </c>
      <c r="E29" s="180">
        <f>Iferror(VLOOKUP(A29,'3. Weekly raw data'!$B$8:$N$50,5,0)/(VLOOKUP(A29,'3. Weekly raw data'!$B$8:$N$50,4,0)+VLOOKUP(A29,'3. Weekly raw data'!$B$8:$N$50,5,0)),"")</f>
        <v>0</v>
      </c>
      <c r="F29" s="180">
        <f>(VLOOKUP(A29,'3. Weekly raw data'!$B$8:$N$50,6,0)/VLOOKUP(A29,'3. Weekly raw data'!$B$8:$N$50,7,0)*100)</f>
        <v>106.8493151</v>
      </c>
      <c r="G29" s="180">
        <f>(VLOOKUP(A29,'3. Weekly raw data'!$B$8:$N$50,8,0)/VLOOKUP(A29,'3. Weekly raw data'!$B$8:$N$50,6,0)*100)</f>
        <v>17.94871795</v>
      </c>
      <c r="H29" s="192">
        <f>VLOOKUP(A29,'3. Weekly raw data'!$B$8:$N$50,9,0)/VLOOKUP(A29,'3. Weekly raw data'!$B$8:$N$50,10,0)*100</f>
        <v>100</v>
      </c>
      <c r="I29" s="37"/>
    </row>
    <row r="30" ht="15.75" customHeight="1">
      <c r="A30" s="132">
        <v>24.0</v>
      </c>
      <c r="B30" s="153">
        <f>'3. Weekly raw data'!C31</f>
        <v>45532</v>
      </c>
      <c r="C30" s="153">
        <f>'3. Weekly raw data'!D31</f>
        <v>45539</v>
      </c>
      <c r="D30" s="180">
        <f>VLOOKUP(A30,'3. Weekly raw data'!$B$8:$N$50,4,0)/(VLOOKUP(A30,'3. Weekly raw data'!$B$8:$N$50,6,0))</f>
        <v>0</v>
      </c>
      <c r="E30" s="180" t="str">
        <f>Iferror(VLOOKUP(A30,'3. Weekly raw data'!$B$8:$N$50,5,0)/(VLOOKUP(A30,'3. Weekly raw data'!$B$8:$N$50,4,0)+VLOOKUP(A30,'3. Weekly raw data'!$B$8:$N$50,5,0)),"")</f>
        <v/>
      </c>
      <c r="F30" s="180">
        <f>(VLOOKUP(A30,'3. Weekly raw data'!$B$8:$N$50,6,0)/VLOOKUP(A30,'3. Weekly raw data'!$B$8:$N$50,7,0)*100)</f>
        <v>33.33333333</v>
      </c>
      <c r="G30" s="180">
        <f>(VLOOKUP(A30,'3. Weekly raw data'!$B$8:$N$50,8,0)/VLOOKUP(A30,'3. Weekly raw data'!$B$8:$N$50,6,0)*100)</f>
        <v>0</v>
      </c>
      <c r="H30" s="192">
        <f>VLOOKUP(A30,'3. Weekly raw data'!$B$8:$N$50,9,0)/VLOOKUP(A30,'3. Weekly raw data'!$B$8:$N$50,10,0)*100</f>
        <v>41.66666667</v>
      </c>
      <c r="I30" s="194" t="s">
        <v>133</v>
      </c>
    </row>
    <row r="31" ht="15.75" customHeight="1">
      <c r="A31" s="132">
        <v>25.0</v>
      </c>
      <c r="B31" s="153">
        <f>'3. Weekly raw data'!C32</f>
        <v>45539</v>
      </c>
      <c r="C31" s="153">
        <f>'3. Weekly raw data'!D32</f>
        <v>45546</v>
      </c>
      <c r="D31" s="180">
        <f>VLOOKUP(A31,'3. Weekly raw data'!$B$8:$N$50,4,0)/(VLOOKUP(A31,'3. Weekly raw data'!$B$8:$N$50,6,0))</f>
        <v>0</v>
      </c>
      <c r="E31" s="180" t="str">
        <f>Iferror(VLOOKUP(A31,'3. Weekly raw data'!$B$8:$N$50,5,0)/(VLOOKUP(A31,'3. Weekly raw data'!$B$8:$N$50,4,0)+VLOOKUP(A31,'3. Weekly raw data'!$B$8:$N$50,5,0)),"")</f>
        <v/>
      </c>
      <c r="F31" s="180">
        <f>(VLOOKUP(A31,'3. Weekly raw data'!$B$8:$N$50,6,0)/VLOOKUP(A31,'3. Weekly raw data'!$B$8:$N$50,7,0)*100)</f>
        <v>112.5</v>
      </c>
      <c r="G31" s="180">
        <f>(VLOOKUP(A31,'3. Weekly raw data'!$B$8:$N$50,8,0)/VLOOKUP(A31,'3. Weekly raw data'!$B$8:$N$50,6,0)*100)</f>
        <v>0</v>
      </c>
      <c r="H31" s="192">
        <f>VLOOKUP(A31,'3. Weekly raw data'!$B$8:$N$50,9,0)/VLOOKUP(A31,'3. Weekly raw data'!$B$8:$N$50,10,0)*100</f>
        <v>100</v>
      </c>
      <c r="I31" s="194" t="s">
        <v>135</v>
      </c>
    </row>
    <row r="32" ht="15.75" customHeight="1">
      <c r="A32" s="132">
        <v>26.0</v>
      </c>
      <c r="B32" s="153">
        <f>'3. Weekly raw data'!C33</f>
        <v>45546</v>
      </c>
      <c r="C32" s="153">
        <f>'3. Weekly raw data'!D33</f>
        <v>45553</v>
      </c>
      <c r="D32" s="180">
        <f>VLOOKUP(A32,'3. Weekly raw data'!$B$8:$N$50,4,0)/(VLOOKUP(A32,'3. Weekly raw data'!$B$8:$N$50,6,0))</f>
        <v>0.08333333333</v>
      </c>
      <c r="E32" s="180">
        <f>Iferror(VLOOKUP(A32,'3. Weekly raw data'!$B$8:$N$50,5,0)/(VLOOKUP(A32,'3. Weekly raw data'!$B$8:$N$50,4,0)+VLOOKUP(A32,'3. Weekly raw data'!$B$8:$N$50,5,0)),"")</f>
        <v>0</v>
      </c>
      <c r="F32" s="180">
        <f>(VLOOKUP(A32,'3. Weekly raw data'!$B$8:$N$50,6,0)/VLOOKUP(A32,'3. Weekly raw data'!$B$8:$N$50,7,0)*100)</f>
        <v>90</v>
      </c>
      <c r="G32" s="180">
        <f>(VLOOKUP(A32,'3. Weekly raw data'!$B$8:$N$50,8,0)/VLOOKUP(A32,'3. Weekly raw data'!$B$8:$N$50,6,0)*100)</f>
        <v>19.44444444</v>
      </c>
      <c r="H32" s="192">
        <f>VLOOKUP(A32,'3. Weekly raw data'!$B$8:$N$50,9,0)/VLOOKUP(A32,'3. Weekly raw data'!$B$8:$N$50,10,0)*100</f>
        <v>88.88888889</v>
      </c>
      <c r="I32" s="194" t="s">
        <v>136</v>
      </c>
    </row>
    <row r="33" ht="15.75" customHeight="1">
      <c r="A33" s="132">
        <v>27.0</v>
      </c>
      <c r="B33" s="153">
        <f>'3. Weekly raw data'!C34</f>
        <v>45553</v>
      </c>
      <c r="C33" s="153">
        <f>'3. Weekly raw data'!D34</f>
        <v>45560</v>
      </c>
      <c r="D33" s="180">
        <f>VLOOKUP(A33,'3. Weekly raw data'!$B$8:$N$50,4,0)/(VLOOKUP(A33,'3. Weekly raw data'!$B$8:$N$50,6,0))</f>
        <v>0.08108108108</v>
      </c>
      <c r="E33" s="180">
        <f>Iferror(VLOOKUP(A33,'3. Weekly raw data'!$B$8:$N$50,5,0)/(VLOOKUP(A33,'3. Weekly raw data'!$B$8:$N$50,4,0)+VLOOKUP(A33,'3. Weekly raw data'!$B$8:$N$50,5,0)),"")</f>
        <v>0</v>
      </c>
      <c r="F33" s="180">
        <f>(VLOOKUP(A33,'3. Weekly raw data'!$B$8:$N$50,6,0)/VLOOKUP(A33,'3. Weekly raw data'!$B$8:$N$50,7,0)*100)</f>
        <v>92.5</v>
      </c>
      <c r="G33" s="180">
        <f>(VLOOKUP(A33,'3. Weekly raw data'!$B$8:$N$50,8,0)/VLOOKUP(A33,'3. Weekly raw data'!$B$8:$N$50,6,0)*100)</f>
        <v>18.91891892</v>
      </c>
      <c r="H33" s="192">
        <f>VLOOKUP(A33,'3. Weekly raw data'!$B$8:$N$50,9,0)/VLOOKUP(A33,'3. Weekly raw data'!$B$8:$N$50,10,0)*100</f>
        <v>93.33333333</v>
      </c>
      <c r="I33" s="37"/>
    </row>
    <row r="34" ht="15.75" customHeight="1">
      <c r="A34" s="132">
        <v>28.0</v>
      </c>
      <c r="B34" s="153">
        <f>'3. Weekly raw data'!C35</f>
        <v>45560</v>
      </c>
      <c r="C34" s="153">
        <f>'3. Weekly raw data'!D35</f>
        <v>45567</v>
      </c>
      <c r="D34" s="180">
        <f>VLOOKUP(A34,'3. Weekly raw data'!$B$8:$N$50,4,0)/(VLOOKUP(A34,'3. Weekly raw data'!$B$8:$N$50,6,0))</f>
        <v>0</v>
      </c>
      <c r="E34" s="180" t="str">
        <f>Iferror(VLOOKUP(A34,'3. Weekly raw data'!$B$8:$N$50,5,0)/(VLOOKUP(A34,'3. Weekly raw data'!$B$8:$N$50,4,0)+VLOOKUP(A34,'3. Weekly raw data'!$B$8:$N$50,5,0)),"")</f>
        <v/>
      </c>
      <c r="F34" s="180">
        <f>(VLOOKUP(A34,'3. Weekly raw data'!$B$8:$N$50,6,0)/VLOOKUP(A34,'3. Weekly raw data'!$B$8:$N$50,7,0)*100)</f>
        <v>100</v>
      </c>
      <c r="G34" s="180">
        <f>(VLOOKUP(A34,'3. Weekly raw data'!$B$8:$N$50,8,0)/VLOOKUP(A34,'3. Weekly raw data'!$B$8:$N$50,6,0)*100)</f>
        <v>0</v>
      </c>
      <c r="H34" s="192">
        <f>VLOOKUP(A34,'3. Weekly raw data'!$B$8:$N$50,9,0)/VLOOKUP(A34,'3. Weekly raw data'!$B$8:$N$50,10,0)*100</f>
        <v>70</v>
      </c>
      <c r="I34" s="194" t="s">
        <v>138</v>
      </c>
    </row>
    <row r="35" ht="15.75" customHeight="1">
      <c r="A35" s="132">
        <v>29.0</v>
      </c>
      <c r="B35" s="153">
        <f>'3. Weekly raw data'!C36</f>
        <v>45567</v>
      </c>
      <c r="C35" s="153">
        <f>'3. Weekly raw data'!D36</f>
        <v>45574</v>
      </c>
      <c r="D35" s="180">
        <f>VLOOKUP(A35,'3. Weekly raw data'!$B$8:$N$50,4,0)/(VLOOKUP(A35,'3. Weekly raw data'!$B$8:$N$50,6,0))</f>
        <v>0.3846153846</v>
      </c>
      <c r="E35" s="180">
        <f>Iferror(VLOOKUP(A35,'3. Weekly raw data'!$B$8:$N$50,5,0)/(VLOOKUP(A35,'3. Weekly raw data'!$B$8:$N$50,4,0)+VLOOKUP(A35,'3. Weekly raw data'!$B$8:$N$50,5,0)),"")</f>
        <v>0</v>
      </c>
      <c r="F35" s="180">
        <f>(VLOOKUP(A35,'3. Weekly raw data'!$B$8:$N$50,6,0)/VLOOKUP(A35,'3. Weekly raw data'!$B$8:$N$50,7,0)*100)</f>
        <v>100</v>
      </c>
      <c r="G35" s="180">
        <f>(VLOOKUP(A35,'3. Weekly raw data'!$B$8:$N$50,8,0)/VLOOKUP(A35,'3. Weekly raw data'!$B$8:$N$50,6,0)*100)</f>
        <v>1.538461538</v>
      </c>
      <c r="H35" s="192">
        <f>VLOOKUP(A35,'3. Weekly raw data'!$B$8:$N$50,9,0)/VLOOKUP(A35,'3. Weekly raw data'!$B$8:$N$50,10,0)*100</f>
        <v>95.45454545</v>
      </c>
      <c r="I35" s="37"/>
    </row>
    <row r="36" ht="15.75" customHeight="1">
      <c r="A36" s="132">
        <v>30.0</v>
      </c>
      <c r="B36" s="153">
        <f>'3. Weekly raw data'!C37</f>
        <v>45574</v>
      </c>
      <c r="C36" s="153">
        <f>'3. Weekly raw data'!D37</f>
        <v>45581</v>
      </c>
      <c r="D36" s="180">
        <f>VLOOKUP(A36,'3. Weekly raw data'!$B$8:$N$50,4,0)/(VLOOKUP(A36,'3. Weekly raw data'!$B$8:$N$50,6,0))</f>
        <v>0.003125</v>
      </c>
      <c r="E36" s="180">
        <f>Iferror(VLOOKUP(A36,'3. Weekly raw data'!$B$8:$N$50,5,0)/(VLOOKUP(A36,'3. Weekly raw data'!$B$8:$N$50,4,0)+VLOOKUP(A36,'3. Weekly raw data'!$B$8:$N$50,5,0)),"")</f>
        <v>0</v>
      </c>
      <c r="F36" s="180">
        <f>(VLOOKUP(A36,'3. Weekly raw data'!$B$8:$N$50,6,0)/VLOOKUP(A36,'3. Weekly raw data'!$B$8:$N$50,7,0)*100)</f>
        <v>100</v>
      </c>
      <c r="G36" s="180">
        <f>(VLOOKUP(A36,'3. Weekly raw data'!$B$8:$N$50,8,0)/VLOOKUP(A36,'3. Weekly raw data'!$B$8:$N$50,6,0)*100)</f>
        <v>37.5</v>
      </c>
      <c r="H36" s="192">
        <f>VLOOKUP(A36,'3. Weekly raw data'!$B$8:$N$50,9,0)/VLOOKUP(A36,'3. Weekly raw data'!$B$8:$N$50,10,0)*100</f>
        <v>88.23529412</v>
      </c>
      <c r="I36" s="194" t="s">
        <v>142</v>
      </c>
    </row>
    <row r="37" ht="15.75" customHeight="1">
      <c r="A37" s="132">
        <v>31.0</v>
      </c>
      <c r="B37" s="153">
        <f>'3. Weekly raw data'!C38</f>
        <v>45581</v>
      </c>
      <c r="C37" s="153">
        <f>'3. Weekly raw data'!D38</f>
        <v>45588</v>
      </c>
      <c r="D37" s="180" t="str">
        <f>VLOOKUP(A37,'3. Weekly raw data'!$B$8:$N$50,4,0)/(VLOOKUP(A37,'3. Weekly raw data'!$B$8:$N$50,6,0))</f>
        <v>#DIV/0!</v>
      </c>
      <c r="E37" s="180" t="str">
        <f>Iferror(VLOOKUP(A37,'3. Weekly raw data'!$B$8:$N$50,5,0)/(VLOOKUP(A37,'3. Weekly raw data'!$B$8:$N$50,4,0)+VLOOKUP(A37,'3. Weekly raw data'!$B$8:$N$50,5,0)),"")</f>
        <v/>
      </c>
      <c r="F37" s="180" t="str">
        <f>(VLOOKUP(A37,'3. Weekly raw data'!$B$8:$N$50,6,0)/VLOOKUP(A37,'3. Weekly raw data'!$B$8:$N$50,7,0)*100)</f>
        <v>#DIV/0!</v>
      </c>
      <c r="G37" s="180" t="str">
        <f>(VLOOKUP(A37,'3. Weekly raw data'!$B$8:$N$50,8,0)/VLOOKUP(A37,'3. Weekly raw data'!$B$8:$N$50,6,0)*100)</f>
        <v>#DIV/0!</v>
      </c>
      <c r="H37" s="192" t="str">
        <f>VLOOKUP(A37,'3. Weekly raw data'!$B$8:$N$50,9,0)/VLOOKUP(A37,'3. Weekly raw data'!$B$8:$N$50,10,0)*100</f>
        <v>#DIV/0!</v>
      </c>
      <c r="I37" s="37"/>
    </row>
    <row r="38" ht="15.75" customHeight="1">
      <c r="A38" s="132">
        <v>32.0</v>
      </c>
      <c r="B38" s="153">
        <f>'3. Weekly raw data'!C39</f>
        <v>45588</v>
      </c>
      <c r="C38" s="153">
        <f>'3. Weekly raw data'!D39</f>
        <v>45595</v>
      </c>
      <c r="D38" s="180" t="str">
        <f>VLOOKUP(A38,'3. Weekly raw data'!$B$8:$N$50,4,0)/(VLOOKUP(A38,'3. Weekly raw data'!$B$8:$N$50,6,0))</f>
        <v>#DIV/0!</v>
      </c>
      <c r="E38" s="180" t="str">
        <f>Iferror(VLOOKUP(A38,'3. Weekly raw data'!$B$8:$N$50,5,0)/(VLOOKUP(A38,'3. Weekly raw data'!$B$8:$N$50,4,0)+VLOOKUP(A38,'3. Weekly raw data'!$B$8:$N$50,5,0)),"")</f>
        <v/>
      </c>
      <c r="F38" s="180" t="str">
        <f>(VLOOKUP(A38,'3. Weekly raw data'!$B$8:$N$50,6,0)/VLOOKUP(A38,'3. Weekly raw data'!$B$8:$N$50,7,0)*100)</f>
        <v>#DIV/0!</v>
      </c>
      <c r="G38" s="180" t="str">
        <f>(VLOOKUP(A38,'3. Weekly raw data'!$B$8:$N$50,8,0)/VLOOKUP(A38,'3. Weekly raw data'!$B$8:$N$50,6,0)*100)</f>
        <v>#DIV/0!</v>
      </c>
      <c r="H38" s="192" t="str">
        <f>VLOOKUP(A38,'3. Weekly raw data'!$B$8:$N$50,9,0)/VLOOKUP(A38,'3. Weekly raw data'!$B$8:$N$50,10,0)*100</f>
        <v>#DIV/0!</v>
      </c>
      <c r="I38" s="37"/>
    </row>
    <row r="39" ht="15.75" customHeight="1">
      <c r="A39" s="132">
        <v>33.0</v>
      </c>
      <c r="B39" s="153">
        <f>'3. Weekly raw data'!C40</f>
        <v>45595</v>
      </c>
      <c r="C39" s="153">
        <f>'3. Weekly raw data'!D40</f>
        <v>45602</v>
      </c>
      <c r="D39" s="180" t="str">
        <f>VLOOKUP(A39,'3. Weekly raw data'!$B$8:$N$50,4,0)/(VLOOKUP(A39,'3. Weekly raw data'!$B$8:$N$50,6,0))</f>
        <v>#DIV/0!</v>
      </c>
      <c r="E39" s="180" t="str">
        <f>Iferror(VLOOKUP(A39,'3. Weekly raw data'!$B$8:$N$50,5,0)/(VLOOKUP(A39,'3. Weekly raw data'!$B$8:$N$50,4,0)+VLOOKUP(A39,'3. Weekly raw data'!$B$8:$N$50,5,0)),"")</f>
        <v/>
      </c>
      <c r="F39" s="180" t="str">
        <f>(VLOOKUP(A39,'3. Weekly raw data'!$B$8:$N$50,6,0)/VLOOKUP(A39,'3. Weekly raw data'!$B$8:$N$50,7,0)*100)</f>
        <v>#DIV/0!</v>
      </c>
      <c r="G39" s="180" t="str">
        <f>(VLOOKUP(A39,'3. Weekly raw data'!$B$8:$N$50,8,0)/VLOOKUP(A39,'3. Weekly raw data'!$B$8:$N$50,6,0)*100)</f>
        <v>#DIV/0!</v>
      </c>
      <c r="H39" s="192" t="str">
        <f>VLOOKUP(A39,'3. Weekly raw data'!$B$8:$N$50,9,0)/VLOOKUP(A39,'3. Weekly raw data'!$B$8:$N$50,10,0)*100</f>
        <v>#DIV/0!</v>
      </c>
      <c r="I39" s="37"/>
    </row>
    <row r="40" ht="15.75" customHeight="1">
      <c r="A40" s="132">
        <v>34.0</v>
      </c>
      <c r="B40" s="153">
        <f>'3. Weekly raw data'!C41</f>
        <v>45602</v>
      </c>
      <c r="C40" s="153">
        <f>'3. Weekly raw data'!D41</f>
        <v>45609</v>
      </c>
      <c r="D40" s="180" t="str">
        <f>VLOOKUP(A40,'3. Weekly raw data'!$B$8:$N$50,4,0)/(VLOOKUP(A40,'3. Weekly raw data'!$B$8:$N$50,6,0))</f>
        <v>#DIV/0!</v>
      </c>
      <c r="E40" s="180" t="str">
        <f>Iferror(VLOOKUP(A40,'3. Weekly raw data'!$B$8:$N$50,5,0)/(VLOOKUP(A40,'3. Weekly raw data'!$B$8:$N$50,4,0)+VLOOKUP(A40,'3. Weekly raw data'!$B$8:$N$50,5,0)),"")</f>
        <v/>
      </c>
      <c r="F40" s="180" t="str">
        <f>(VLOOKUP(A40,'3. Weekly raw data'!$B$8:$N$50,6,0)/VLOOKUP(A40,'3. Weekly raw data'!$B$8:$N$50,7,0)*100)</f>
        <v>#DIV/0!</v>
      </c>
      <c r="G40" s="180" t="str">
        <f>(VLOOKUP(A40,'3. Weekly raw data'!$B$8:$N$50,8,0)/VLOOKUP(A40,'3. Weekly raw data'!$B$8:$N$50,6,0)*100)</f>
        <v>#DIV/0!</v>
      </c>
      <c r="H40" s="192" t="str">
        <f>VLOOKUP(A40,'3. Weekly raw data'!$B$8:$N$50,9,0)/VLOOKUP(A40,'3. Weekly raw data'!$B$8:$N$50,10,0)*100</f>
        <v>#DIV/0!</v>
      </c>
      <c r="I40" s="37"/>
    </row>
    <row r="41" ht="15.75" customHeight="1">
      <c r="A41" s="132">
        <v>35.0</v>
      </c>
      <c r="B41" s="153">
        <f>'3. Weekly raw data'!C42</f>
        <v>45609</v>
      </c>
      <c r="C41" s="153">
        <f>'3. Weekly raw data'!D42</f>
        <v>45616</v>
      </c>
      <c r="D41" s="180" t="str">
        <f>VLOOKUP(A41,'3. Weekly raw data'!$B$8:$N$50,4,0)/(VLOOKUP(A41,'3. Weekly raw data'!$B$8:$N$50,6,0))</f>
        <v>#DIV/0!</v>
      </c>
      <c r="E41" s="180" t="str">
        <f>Iferror(VLOOKUP(A41,'3. Weekly raw data'!$B$8:$N$50,5,0)/(VLOOKUP(A41,'3. Weekly raw data'!$B$8:$N$50,4,0)+VLOOKUP(A41,'3. Weekly raw data'!$B$8:$N$50,5,0)),"")</f>
        <v/>
      </c>
      <c r="F41" s="180" t="str">
        <f>(VLOOKUP(A41,'3. Weekly raw data'!$B$8:$N$50,6,0)/VLOOKUP(A41,'3. Weekly raw data'!$B$8:$N$50,7,0)*100)</f>
        <v>#DIV/0!</v>
      </c>
      <c r="G41" s="180" t="str">
        <f>(VLOOKUP(A41,'3. Weekly raw data'!$B$8:$N$50,8,0)/VLOOKUP(A41,'3. Weekly raw data'!$B$8:$N$50,6,0)*100)</f>
        <v>#DIV/0!</v>
      </c>
      <c r="H41" s="192" t="str">
        <f>VLOOKUP(A41,'3. Weekly raw data'!$B$8:$N$50,9,0)/VLOOKUP(A41,'3. Weekly raw data'!$B$8:$N$50,10,0)*100</f>
        <v>#DIV/0!</v>
      </c>
      <c r="I41" s="37"/>
    </row>
    <row r="42" ht="15.75" customHeight="1">
      <c r="A42" s="132">
        <v>36.0</v>
      </c>
      <c r="B42" s="153">
        <f>'3. Weekly raw data'!C43</f>
        <v>45616</v>
      </c>
      <c r="C42" s="153">
        <f>'3. Weekly raw data'!D43</f>
        <v>45623</v>
      </c>
      <c r="D42" s="180" t="str">
        <f>VLOOKUP(A42,'3. Weekly raw data'!$B$8:$N$50,4,0)/(VLOOKUP(A42,'3. Weekly raw data'!$B$8:$N$50,6,0))</f>
        <v>#DIV/0!</v>
      </c>
      <c r="E42" s="180" t="str">
        <f>Iferror(VLOOKUP(A42,'3. Weekly raw data'!$B$8:$N$50,5,0)/(VLOOKUP(A42,'3. Weekly raw data'!$B$8:$N$50,4,0)+VLOOKUP(A42,'3. Weekly raw data'!$B$8:$N$50,5,0)),"")</f>
        <v/>
      </c>
      <c r="F42" s="180" t="str">
        <f>(VLOOKUP(A42,'3. Weekly raw data'!$B$8:$N$50,6,0)/VLOOKUP(A42,'3. Weekly raw data'!$B$8:$N$50,7,0)*100)</f>
        <v>#DIV/0!</v>
      </c>
      <c r="G42" s="180" t="str">
        <f>(VLOOKUP(A42,'3. Weekly raw data'!$B$8:$N$50,8,0)/VLOOKUP(A42,'3. Weekly raw data'!$B$8:$N$50,6,0)*100)</f>
        <v>#DIV/0!</v>
      </c>
      <c r="H42" s="192" t="str">
        <f>VLOOKUP(A42,'3. Weekly raw data'!$B$8:$N$50,9,0)/VLOOKUP(A42,'3. Weekly raw data'!$B$8:$N$50,10,0)*100</f>
        <v>#DIV/0!</v>
      </c>
      <c r="I42" s="37"/>
    </row>
    <row r="43" ht="15.75" customHeight="1">
      <c r="A43" s="132">
        <v>37.0</v>
      </c>
      <c r="B43" s="153">
        <f>'3. Weekly raw data'!C44</f>
        <v>45623</v>
      </c>
      <c r="C43" s="153">
        <f>'3. Weekly raw data'!D44</f>
        <v>45630</v>
      </c>
      <c r="D43" s="180" t="str">
        <f>VLOOKUP(A43,'3. Weekly raw data'!$B$8:$N$50,4,0)/(VLOOKUP(A43,'3. Weekly raw data'!$B$8:$N$50,6,0))</f>
        <v>#DIV/0!</v>
      </c>
      <c r="E43" s="180" t="str">
        <f>Iferror(VLOOKUP(A43,'3. Weekly raw data'!$B$8:$N$50,5,0)/(VLOOKUP(A43,'3. Weekly raw data'!$B$8:$N$50,4,0)+VLOOKUP(A43,'3. Weekly raw data'!$B$8:$N$50,5,0)),"")</f>
        <v/>
      </c>
      <c r="F43" s="180" t="str">
        <f>(VLOOKUP(A43,'3. Weekly raw data'!$B$8:$N$50,6,0)/VLOOKUP(A43,'3. Weekly raw data'!$B$8:$N$50,7,0)*100)</f>
        <v>#DIV/0!</v>
      </c>
      <c r="G43" s="180" t="str">
        <f>(VLOOKUP(A43,'3. Weekly raw data'!$B$8:$N$50,8,0)/VLOOKUP(A43,'3. Weekly raw data'!$B$8:$N$50,6,0)*100)</f>
        <v>#DIV/0!</v>
      </c>
      <c r="H43" s="192" t="str">
        <f>VLOOKUP(A43,'3. Weekly raw data'!$B$8:$N$50,9,0)/VLOOKUP(A43,'3. Weekly raw data'!$B$8:$N$50,10,0)*100</f>
        <v>#DIV/0!</v>
      </c>
      <c r="I43" s="37"/>
    </row>
    <row r="44" ht="15.75" customHeight="1">
      <c r="A44" s="132">
        <v>38.0</v>
      </c>
      <c r="B44" s="153">
        <f>'3. Weekly raw data'!C45</f>
        <v>45630</v>
      </c>
      <c r="C44" s="153">
        <f>'3. Weekly raw data'!D45</f>
        <v>45637</v>
      </c>
      <c r="D44" s="180" t="str">
        <f>VLOOKUP(A44,'3. Weekly raw data'!$B$8:$N$50,4,0)/(VLOOKUP(A44,'3. Weekly raw data'!$B$8:$N$50,6,0))</f>
        <v>#DIV/0!</v>
      </c>
      <c r="E44" s="180" t="str">
        <f>Iferror(VLOOKUP(A44,'3. Weekly raw data'!$B$8:$N$50,5,0)/(VLOOKUP(A44,'3. Weekly raw data'!$B$8:$N$50,4,0)+VLOOKUP(A44,'3. Weekly raw data'!$B$8:$N$50,5,0)),"")</f>
        <v/>
      </c>
      <c r="F44" s="180" t="str">
        <f>(VLOOKUP(A44,'3. Weekly raw data'!$B$8:$N$50,6,0)/VLOOKUP(A44,'3. Weekly raw data'!$B$8:$N$50,7,0)*100)</f>
        <v>#DIV/0!</v>
      </c>
      <c r="G44" s="180" t="str">
        <f>(VLOOKUP(A44,'3. Weekly raw data'!$B$8:$N$50,8,0)/VLOOKUP(A44,'3. Weekly raw data'!$B$8:$N$50,6,0)*100)</f>
        <v>#DIV/0!</v>
      </c>
      <c r="H44" s="192" t="str">
        <f>VLOOKUP(A44,'3. Weekly raw data'!$B$8:$N$50,9,0)/VLOOKUP(A44,'3. Weekly raw data'!$B$8:$N$50,10,0)*100</f>
        <v>#DIV/0!</v>
      </c>
      <c r="I44" s="37"/>
    </row>
    <row r="45" ht="15.75" customHeight="1">
      <c r="A45" s="132">
        <v>39.0</v>
      </c>
      <c r="B45" s="153">
        <f>'3. Weekly raw data'!C46</f>
        <v>45637</v>
      </c>
      <c r="C45" s="153">
        <f>'3. Weekly raw data'!D46</f>
        <v>45644</v>
      </c>
      <c r="D45" s="180" t="str">
        <f>VLOOKUP(A45,'3. Weekly raw data'!$B$8:$N$50,4,0)/(VLOOKUP(A45,'3. Weekly raw data'!$B$8:$N$50,6,0))</f>
        <v>#DIV/0!</v>
      </c>
      <c r="E45" s="180" t="str">
        <f>Iferror(VLOOKUP(A45,'3. Weekly raw data'!$B$8:$N$50,5,0)/(VLOOKUP(A45,'3. Weekly raw data'!$B$8:$N$50,4,0)+VLOOKUP(A45,'3. Weekly raw data'!$B$8:$N$50,5,0)),"")</f>
        <v/>
      </c>
      <c r="F45" s="180" t="str">
        <f>(VLOOKUP(A45,'3. Weekly raw data'!$B$8:$N$50,6,0)/VLOOKUP(A45,'3. Weekly raw data'!$B$8:$N$50,7,0)*100)</f>
        <v>#DIV/0!</v>
      </c>
      <c r="G45" s="180" t="str">
        <f>(VLOOKUP(A45,'3. Weekly raw data'!$B$8:$N$50,8,0)/VLOOKUP(A45,'3. Weekly raw data'!$B$8:$N$50,6,0)*100)</f>
        <v>#DIV/0!</v>
      </c>
      <c r="H45" s="192" t="str">
        <f>VLOOKUP(A45,'3. Weekly raw data'!$B$8:$N$50,9,0)/VLOOKUP(A45,'3. Weekly raw data'!$B$8:$N$50,10,0)*100</f>
        <v>#DIV/0!</v>
      </c>
      <c r="I45" s="37"/>
    </row>
    <row r="46" ht="15.75" customHeight="1">
      <c r="A46" s="132">
        <v>40.0</v>
      </c>
      <c r="B46" s="153">
        <f>'3. Weekly raw data'!C47</f>
        <v>45644</v>
      </c>
      <c r="C46" s="153">
        <f>'3. Weekly raw data'!D47</f>
        <v>45651</v>
      </c>
      <c r="D46" s="180" t="str">
        <f>VLOOKUP(A46,'3. Weekly raw data'!$B$8:$N$50,4,0)/(VLOOKUP(A46,'3. Weekly raw data'!$B$8:$N$50,6,0))</f>
        <v>#DIV/0!</v>
      </c>
      <c r="E46" s="180" t="str">
        <f>Iferror(VLOOKUP(A46,'3. Weekly raw data'!$B$8:$N$50,5,0)/(VLOOKUP(A46,'3. Weekly raw data'!$B$8:$N$50,4,0)+VLOOKUP(A46,'3. Weekly raw data'!$B$8:$N$50,5,0)),"")</f>
        <v/>
      </c>
      <c r="F46" s="180" t="str">
        <f>(VLOOKUP(A46,'3. Weekly raw data'!$B$8:$N$50,6,0)/VLOOKUP(A46,'3. Weekly raw data'!$B$8:$N$50,7,0)*100)</f>
        <v>#DIV/0!</v>
      </c>
      <c r="G46" s="180" t="str">
        <f>(VLOOKUP(A46,'3. Weekly raw data'!$B$8:$N$50,8,0)/VLOOKUP(A46,'3. Weekly raw data'!$B$8:$N$50,6,0)*100)</f>
        <v>#DIV/0!</v>
      </c>
      <c r="H46" s="192" t="str">
        <f>VLOOKUP(A46,'3. Weekly raw data'!$B$8:$N$50,9,0)/VLOOKUP(A46,'3. Weekly raw data'!$B$8:$N$50,10,0)*100</f>
        <v>#DIV/0!</v>
      </c>
      <c r="I46" s="37"/>
    </row>
    <row r="47" ht="15.75" customHeight="1">
      <c r="A47" s="132">
        <v>41.0</v>
      </c>
      <c r="B47" s="153" t="str">
        <f>'3. Weekly raw data'!C48</f>
        <v/>
      </c>
      <c r="C47" s="153" t="str">
        <f>'3. Weekly raw data'!D48</f>
        <v/>
      </c>
      <c r="D47" s="180" t="str">
        <f>VLOOKUP(A47,'3. Weekly raw data'!$B$8:$N$50,4,0)/(VLOOKUP(A47,'3. Weekly raw data'!$B$8:$N$50,6,0))</f>
        <v>#N/A</v>
      </c>
      <c r="E47" s="180" t="str">
        <f>Iferror(VLOOKUP(A47,'3. Weekly raw data'!$B$8:$N$50,5,0)/(VLOOKUP(A47,'3. Weekly raw data'!$B$8:$N$50,4,0)+VLOOKUP(A47,'3. Weekly raw data'!$B$8:$N$50,5,0)),"")</f>
        <v/>
      </c>
      <c r="F47" s="180" t="str">
        <f>(VLOOKUP(A47,'3. Weekly raw data'!$B$8:$N$50,6,0)/VLOOKUP(A47,'3. Weekly raw data'!$B$8:$N$50,7,0)*100)</f>
        <v>#N/A</v>
      </c>
      <c r="G47" s="180" t="str">
        <f>(VLOOKUP(A47,'3. Weekly raw data'!$B$8:$N$50,8,0)/VLOOKUP(A47,'3. Weekly raw data'!$B$8:$N$50,6,0)*100)</f>
        <v>#N/A</v>
      </c>
      <c r="H47" s="192" t="str">
        <f>VLOOKUP(A47,'3. Weekly raw data'!$B$8:$N$50,9,0)/VLOOKUP(A47,'3. Weekly raw data'!$B$8:$N$50,10,0)*100</f>
        <v>#N/A</v>
      </c>
      <c r="I47" s="37"/>
    </row>
    <row r="48" ht="15.75" customHeight="1">
      <c r="A48" s="132">
        <v>42.0</v>
      </c>
      <c r="B48" s="153" t="str">
        <f>'3. Weekly raw data'!C49</f>
        <v/>
      </c>
      <c r="C48" s="153" t="str">
        <f>'3. Weekly raw data'!D49</f>
        <v/>
      </c>
      <c r="D48" s="180" t="str">
        <f>VLOOKUP(A48,'3. Weekly raw data'!$B$8:$N$50,4,0)/(VLOOKUP(A48,'3. Weekly raw data'!$B$8:$N$50,6,0))</f>
        <v>#N/A</v>
      </c>
      <c r="E48" s="180" t="str">
        <f>Iferror(VLOOKUP(A48,'3. Weekly raw data'!$B$8:$N$50,5,0)/(VLOOKUP(A48,'3. Weekly raw data'!$B$8:$N$50,4,0)+VLOOKUP(A48,'3. Weekly raw data'!$B$8:$N$50,5,0)),"")</f>
        <v/>
      </c>
      <c r="F48" s="180" t="str">
        <f>(VLOOKUP(A48,'3. Weekly raw data'!$B$8:$N$50,6,0)/VLOOKUP(A48,'3. Weekly raw data'!$B$8:$N$50,7,0)*100)</f>
        <v>#N/A</v>
      </c>
      <c r="G48" s="180" t="str">
        <f>(VLOOKUP(A48,'3. Weekly raw data'!$B$8:$N$50,8,0)/VLOOKUP(A48,'3. Weekly raw data'!$B$8:$N$50,6,0)*100)</f>
        <v>#N/A</v>
      </c>
      <c r="H48" s="192" t="str">
        <f>VLOOKUP(A48,'3. Weekly raw data'!$B$8:$N$50,9,0)/VLOOKUP(A48,'3. Weekly raw data'!$B$8:$N$50,10,0)*100</f>
        <v>#N/A</v>
      </c>
      <c r="I48" s="37"/>
    </row>
    <row r="49" ht="15.75" customHeight="1">
      <c r="A49" s="132">
        <v>43.0</v>
      </c>
      <c r="B49" s="153" t="str">
        <f>'3. Weekly raw data'!C50</f>
        <v/>
      </c>
      <c r="C49" s="153" t="str">
        <f>'3. Weekly raw data'!D50</f>
        <v/>
      </c>
      <c r="D49" s="180" t="str">
        <f>VLOOKUP(A49,'3. Weekly raw data'!$B$8:$N$50,4,0)/(VLOOKUP(A49,'3. Weekly raw data'!$B$8:$N$50,6,0))</f>
        <v>#N/A</v>
      </c>
      <c r="E49" s="180" t="str">
        <f>Iferror(VLOOKUP(A49,'3. Weekly raw data'!$B$8:$N$50,5,0)/(VLOOKUP(A49,'3. Weekly raw data'!$B$8:$N$50,4,0)+VLOOKUP(A49,'3. Weekly raw data'!$B$8:$N$50,5,0)),"")</f>
        <v/>
      </c>
      <c r="F49" s="180" t="str">
        <f>(VLOOKUP(A49,'3. Weekly raw data'!$B$8:$N$50,6,0)/VLOOKUP(A49,'3. Weekly raw data'!$B$8:$N$50,7,0)*100)</f>
        <v>#N/A</v>
      </c>
      <c r="G49" s="180" t="str">
        <f>(VLOOKUP(A49,'3. Weekly raw data'!$B$8:$N$50,8,0)/VLOOKUP(A49,'3. Weekly raw data'!$B$8:$N$50,6,0)*100)</f>
        <v>#N/A</v>
      </c>
      <c r="H49" s="192" t="str">
        <f>VLOOKUP(A49,'3. Weekly raw data'!$B$8:$N$50,9,0)/VLOOKUP(A49,'3. Weekly raw data'!$B$8:$N$50,10,0)*100</f>
        <v>#N/A</v>
      </c>
      <c r="I49" s="37"/>
    </row>
    <row r="50" ht="15.75" customHeight="1">
      <c r="A50" s="132">
        <v>44.0</v>
      </c>
      <c r="B50" s="153" t="str">
        <f>'3. Weekly raw data'!C51</f>
        <v/>
      </c>
      <c r="C50" s="153" t="str">
        <f>'3. Weekly raw data'!D51</f>
        <v/>
      </c>
      <c r="D50" s="180" t="str">
        <f>VLOOKUP(A50,'3. Weekly raw data'!$B$8:$N$50,4,0)/(VLOOKUP(A50,'3. Weekly raw data'!$B$8:$N$50,6,0))</f>
        <v>#N/A</v>
      </c>
      <c r="E50" s="180" t="str">
        <f>Iferror(VLOOKUP(A50,'3. Weekly raw data'!$B$8:$N$50,5,0)/(VLOOKUP(A50,'3. Weekly raw data'!$B$8:$N$50,4,0)+VLOOKUP(A50,'3. Weekly raw data'!$B$8:$N$50,5,0)),"")</f>
        <v/>
      </c>
      <c r="F50" s="180" t="str">
        <f>(VLOOKUP(A50,'3. Weekly raw data'!$B$8:$N$50,6,0)/VLOOKUP(A50,'3. Weekly raw data'!$B$8:$N$50,7,0)*100)</f>
        <v>#N/A</v>
      </c>
      <c r="G50" s="180" t="str">
        <f>(VLOOKUP(A50,'3. Weekly raw data'!$B$8:$N$50,8,0)/VLOOKUP(A50,'3. Weekly raw data'!$B$8:$N$50,6,0)*100)</f>
        <v>#N/A</v>
      </c>
      <c r="H50" s="192" t="str">
        <f>VLOOKUP(A50,'3. Weekly raw data'!$B$8:$N$50,9,0)/VLOOKUP(A50,'3. Weekly raw data'!$B$8:$N$50,10,0)*100</f>
        <v>#N/A</v>
      </c>
      <c r="I50" s="37"/>
    </row>
    <row r="51" ht="15.75" customHeight="1">
      <c r="H51" s="244" t="str">
        <f>VLOOKUP(A51,'3. Weekly raw data'!$B$7:$N$34,9,0)/VLOOKUP(A51,'3. Weekly raw data'!$B$7:$N$34,10,0)*100</f>
        <v>#N/A</v>
      </c>
    </row>
    <row r="52" ht="15.75" customHeight="1">
      <c r="H52" s="244" t="str">
        <f>VLOOKUP(A52,'3. Weekly raw data'!$B$7:$N$34,9,0)/VLOOKUP(A52,'3. Weekly raw data'!$B$7:$N$34,10,0)*100</f>
        <v>#N/A</v>
      </c>
    </row>
    <row r="53" ht="15.75" customHeight="1">
      <c r="H53" s="244" t="str">
        <f>VLOOKUP(A53,'3. Weekly raw data'!$B$7:$N$34,9,0)/VLOOKUP(A53,'3. Weekly raw data'!$B$7:$N$34,10,0)*100</f>
        <v>#N/A</v>
      </c>
    </row>
    <row r="54" ht="15.75" customHeight="1">
      <c r="H54" s="244" t="str">
        <f>VLOOKUP(A54,'3. Weekly raw data'!$B$7:$N$34,9,0)/VLOOKUP(A54,'3. Weekly raw data'!$B$7:$N$34,10,0)*100</f>
        <v>#N/A</v>
      </c>
    </row>
    <row r="55" ht="15.75" customHeight="1">
      <c r="H55" s="244" t="str">
        <f>VLOOKUP(A55,'3. Weekly raw data'!$B$7:$N$34,9,0)/VLOOKUP(A55,'3. Weekly raw data'!$B$7:$N$34,10,0)*100</f>
        <v>#N/A</v>
      </c>
    </row>
    <row r="56" ht="15.75" customHeight="1">
      <c r="H56" s="244" t="str">
        <f>VLOOKUP(A56,'3. Weekly raw data'!$B$7:$N$34,9,0)/VLOOKUP(A56,'3. Weekly raw data'!$B$7:$N$34,10,0)*100</f>
        <v>#N/A</v>
      </c>
    </row>
    <row r="57" ht="15.75" customHeight="1">
      <c r="H57" s="244" t="str">
        <f>VLOOKUP(A57,'3. Weekly raw data'!$B$7:$N$34,9,0)/VLOOKUP(A57,'3. Weekly raw data'!$B$7:$N$34,10,0)*100</f>
        <v>#N/A</v>
      </c>
    </row>
    <row r="58" ht="15.75" customHeight="1">
      <c r="H58" s="244" t="str">
        <f>VLOOKUP(A58,'3. Weekly raw data'!$B$7:$N$34,9,0)/VLOOKUP(A58,'3. Weekly raw data'!$B$7:$N$34,10,0)*100</f>
        <v>#N/A</v>
      </c>
    </row>
    <row r="59" ht="15.75" customHeight="1">
      <c r="H59" s="244" t="str">
        <f>VLOOKUP(A59,'3. Weekly raw data'!$B$7:$N$34,9,0)/VLOOKUP(A59,'3. Weekly raw data'!$B$7:$N$34,10,0)*100</f>
        <v>#N/A</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0603825-6846-4218-B292-449A3DAED5E0}" filter="1" showAutoFilter="1">
      <autoFilter ref="$A$6:$I$40"/>
    </customSheetView>
  </customSheetViews>
  <mergeCells count="3">
    <mergeCell ref="A1:B3"/>
    <mergeCell ref="C1:H3"/>
    <mergeCell ref="A4:H4"/>
  </mergeCells>
  <conditionalFormatting sqref="I7:I40">
    <cfRule type="cellIs" dxfId="0" priority="1" operator="greaterThanOrEqual">
      <formula>1</formula>
    </cfRule>
  </conditionalFormatting>
  <conditionalFormatting sqref="E7:E50">
    <cfRule type="cellIs" dxfId="0" priority="2" operator="greaterThanOrEqual">
      <formula>20</formula>
    </cfRule>
  </conditionalFormatting>
  <conditionalFormatting sqref="E7:E50">
    <cfRule type="cellIs" dxfId="1" priority="3" operator="between">
      <formula>20</formula>
      <formula>5</formula>
    </cfRule>
  </conditionalFormatting>
  <conditionalFormatting sqref="E7:E50">
    <cfRule type="cellIs" dxfId="1" priority="4" operator="between">
      <formula>5</formula>
      <formula>0</formula>
    </cfRule>
  </conditionalFormatting>
  <conditionalFormatting sqref="D7:D50">
    <cfRule type="cellIs" dxfId="0" priority="5" operator="greaterThanOrEqual">
      <formula>0.5</formula>
    </cfRule>
  </conditionalFormatting>
  <conditionalFormatting sqref="D7:D50">
    <cfRule type="cellIs" dxfId="1" priority="6" operator="between">
      <formula>0.5</formula>
      <formula>0.05</formula>
    </cfRule>
  </conditionalFormatting>
  <conditionalFormatting sqref="D7:D50">
    <cfRule type="cellIs" dxfId="1" priority="7" operator="between">
      <formula>0.25</formula>
      <formula>0</formula>
    </cfRule>
  </conditionalFormatting>
  <conditionalFormatting sqref="G7:G50">
    <cfRule type="cellIs" dxfId="1" priority="8" operator="between">
      <formula>20</formula>
      <formula>5</formula>
    </cfRule>
  </conditionalFormatting>
  <conditionalFormatting sqref="G7:G50">
    <cfRule type="cellIs" dxfId="0" priority="9" operator="greaterThanOrEqual">
      <formula>20</formula>
    </cfRule>
  </conditionalFormatting>
  <conditionalFormatting sqref="G7:G50">
    <cfRule type="cellIs" dxfId="2" priority="10" operator="lessThanOrEqual">
      <formula>20</formula>
    </cfRule>
  </conditionalFormatting>
  <conditionalFormatting sqref="F7:F50">
    <cfRule type="cellIs" dxfId="1" priority="11" operator="between">
      <formula>110</formula>
      <formula>95</formula>
    </cfRule>
  </conditionalFormatting>
  <conditionalFormatting sqref="F7:F50">
    <cfRule type="cellIs" dxfId="1" priority="12" operator="between">
      <formula>95</formula>
      <formula>80</formula>
    </cfRule>
  </conditionalFormatting>
  <conditionalFormatting sqref="F7:F50">
    <cfRule type="cellIs" dxfId="0" priority="13" operator="lessThanOrEqual">
      <formula>80</formula>
    </cfRule>
  </conditionalFormatting>
  <conditionalFormatting sqref="F7:F50">
    <cfRule type="cellIs" dxfId="0" priority="14" operator="greaterThanOrEqual">
      <formula>110</formula>
    </cfRule>
  </conditionalFormatting>
  <conditionalFormatting sqref="H9:H59">
    <cfRule type="cellIs" dxfId="1" priority="15" operator="lessThan">
      <formula>-1</formula>
    </cfRule>
  </conditionalFormatting>
  <conditionalFormatting sqref="H7:H59">
    <cfRule type="cellIs" dxfId="1" priority="16" operator="between">
      <formula>110</formula>
      <formula>90</formula>
    </cfRule>
  </conditionalFormatting>
  <conditionalFormatting sqref="H7:H59">
    <cfRule type="cellIs" dxfId="0" priority="17" operator="lessThanOrEqual">
      <formula>90</formula>
    </cfRule>
  </conditionalFormatting>
  <conditionalFormatting sqref="H7:H59">
    <cfRule type="cellIs" dxfId="1" priority="18" operator="greaterThanOrEqual">
      <formula>110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2" width="11.0"/>
    <col customWidth="1" min="3" max="3" width="12.75"/>
    <col customWidth="1" min="4" max="4" width="15.13"/>
    <col customWidth="1" min="5" max="9" width="27.63"/>
    <col customWidth="1" min="10" max="10" width="37.13"/>
  </cols>
  <sheetData>
    <row r="1">
      <c r="A1" s="163"/>
      <c r="B1" s="10"/>
      <c r="C1" s="7" t="s">
        <v>107</v>
      </c>
      <c r="D1" s="4"/>
      <c r="E1" s="4"/>
      <c r="F1" s="4"/>
      <c r="G1" s="4"/>
      <c r="H1" s="10"/>
      <c r="I1" s="187" t="s">
        <v>1</v>
      </c>
      <c r="J1" s="13"/>
    </row>
    <row r="2">
      <c r="A2" s="9"/>
      <c r="B2" s="3"/>
      <c r="H2" s="3"/>
      <c r="I2" s="187" t="s">
        <v>2</v>
      </c>
      <c r="J2" s="13"/>
    </row>
    <row r="3">
      <c r="A3" s="27"/>
      <c r="B3" s="19"/>
      <c r="C3" s="30"/>
      <c r="D3" s="30"/>
      <c r="E3" s="30"/>
      <c r="F3" s="30"/>
      <c r="G3" s="30"/>
      <c r="H3" s="19"/>
      <c r="I3" s="187" t="s">
        <v>3</v>
      </c>
      <c r="J3" s="13"/>
    </row>
    <row r="4">
      <c r="A4" s="165" t="s">
        <v>4</v>
      </c>
      <c r="B4" s="15"/>
      <c r="C4" s="15"/>
      <c r="D4" s="15"/>
      <c r="E4" s="15"/>
      <c r="F4" s="15"/>
      <c r="G4" s="15"/>
      <c r="H4" s="13"/>
      <c r="I4" s="190" t="s">
        <v>5</v>
      </c>
      <c r="J4" s="13"/>
    </row>
    <row r="5">
      <c r="A5" s="191"/>
      <c r="B5" s="191"/>
      <c r="C5" s="191"/>
      <c r="D5" s="191"/>
      <c r="E5" s="191"/>
      <c r="F5" s="191"/>
      <c r="G5" s="191"/>
      <c r="H5" s="191"/>
      <c r="I5" s="193"/>
      <c r="J5" s="193"/>
    </row>
    <row r="6" ht="90.0" customHeight="1">
      <c r="A6" s="49" t="s">
        <v>16</v>
      </c>
      <c r="B6" s="49" t="s">
        <v>116</v>
      </c>
      <c r="C6" s="195" t="s">
        <v>21</v>
      </c>
      <c r="D6" s="196" t="s">
        <v>22</v>
      </c>
      <c r="E6" s="49" t="s">
        <v>117</v>
      </c>
      <c r="F6" s="49" t="s">
        <v>111</v>
      </c>
      <c r="G6" s="49" t="s">
        <v>118</v>
      </c>
      <c r="H6" s="49" t="s">
        <v>113</v>
      </c>
      <c r="I6" s="168" t="s">
        <v>114</v>
      </c>
      <c r="J6" s="49" t="s">
        <v>36</v>
      </c>
    </row>
    <row r="7">
      <c r="A7" s="197">
        <v>1.0</v>
      </c>
      <c r="B7" s="199">
        <v>1.0</v>
      </c>
      <c r="C7" s="200">
        <v>45358.0</v>
      </c>
      <c r="D7" s="200">
        <v>45364.0</v>
      </c>
      <c r="E7" s="201">
        <v>0.0</v>
      </c>
      <c r="F7" s="201" t="e">
        <v>#NUM!</v>
      </c>
      <c r="G7" s="201">
        <v>100.0</v>
      </c>
      <c r="H7" s="201">
        <v>0.0</v>
      </c>
      <c r="I7" s="202">
        <v>70.0</v>
      </c>
      <c r="J7" s="203"/>
    </row>
    <row r="8">
      <c r="A8" s="204">
        <v>2.0</v>
      </c>
      <c r="B8" s="199">
        <v>2.0</v>
      </c>
      <c r="C8" s="205">
        <v>45365.0</v>
      </c>
      <c r="D8" s="205">
        <v>45441.0</v>
      </c>
      <c r="E8" s="206">
        <v>12.550200803212853</v>
      </c>
      <c r="F8" s="206">
        <v>10.714285714285714</v>
      </c>
      <c r="G8" s="206">
        <v>97.265625</v>
      </c>
      <c r="H8" s="206">
        <v>47.89156626506024</v>
      </c>
      <c r="I8" s="207">
        <v>95.97701149425288</v>
      </c>
      <c r="J8" s="203"/>
    </row>
    <row r="9">
      <c r="A9" s="208"/>
      <c r="B9" s="199">
        <v>3.0</v>
      </c>
      <c r="C9" s="208"/>
      <c r="D9" s="208"/>
      <c r="E9" s="208"/>
      <c r="F9" s="208"/>
      <c r="G9" s="208"/>
      <c r="H9" s="208"/>
      <c r="I9" s="208"/>
      <c r="J9" s="203"/>
    </row>
    <row r="10">
      <c r="A10" s="208"/>
      <c r="B10" s="199">
        <v>4.0</v>
      </c>
      <c r="C10" s="208"/>
      <c r="D10" s="208"/>
      <c r="E10" s="208"/>
      <c r="F10" s="208"/>
      <c r="G10" s="208"/>
      <c r="H10" s="208"/>
      <c r="I10" s="208"/>
      <c r="J10" s="203"/>
    </row>
    <row r="11">
      <c r="A11" s="208"/>
      <c r="B11" s="199">
        <v>5.0</v>
      </c>
      <c r="C11" s="208"/>
      <c r="D11" s="208"/>
      <c r="E11" s="208"/>
      <c r="F11" s="208"/>
      <c r="G11" s="208"/>
      <c r="H11" s="208"/>
      <c r="I11" s="208"/>
      <c r="J11" s="203"/>
    </row>
    <row r="12" ht="16.5" customHeight="1">
      <c r="A12" s="208"/>
      <c r="B12" s="199">
        <v>6.0</v>
      </c>
      <c r="C12" s="208"/>
      <c r="D12" s="208"/>
      <c r="E12" s="208"/>
      <c r="F12" s="208"/>
      <c r="G12" s="208"/>
      <c r="H12" s="208"/>
      <c r="I12" s="208"/>
      <c r="J12" s="203"/>
    </row>
    <row r="13">
      <c r="A13" s="208"/>
      <c r="B13" s="199">
        <v>7.0</v>
      </c>
      <c r="C13" s="208"/>
      <c r="D13" s="208"/>
      <c r="E13" s="208"/>
      <c r="F13" s="208"/>
      <c r="G13" s="208"/>
      <c r="H13" s="208"/>
      <c r="I13" s="208"/>
      <c r="J13" s="203"/>
    </row>
    <row r="14">
      <c r="A14" s="208"/>
      <c r="B14" s="199">
        <v>8.0</v>
      </c>
      <c r="C14" s="208"/>
      <c r="D14" s="208"/>
      <c r="E14" s="208"/>
      <c r="F14" s="208"/>
      <c r="G14" s="208"/>
      <c r="H14" s="208"/>
      <c r="I14" s="208"/>
      <c r="J14" s="203"/>
    </row>
    <row r="15">
      <c r="A15" s="208"/>
      <c r="B15" s="199">
        <v>9.0</v>
      </c>
      <c r="C15" s="208"/>
      <c r="D15" s="208"/>
      <c r="E15" s="208"/>
      <c r="F15" s="208"/>
      <c r="G15" s="208"/>
      <c r="H15" s="208"/>
      <c r="I15" s="208"/>
      <c r="J15" s="203"/>
    </row>
    <row r="16">
      <c r="A16" s="208"/>
      <c r="B16" s="199">
        <v>10.0</v>
      </c>
      <c r="C16" s="208"/>
      <c r="D16" s="208"/>
      <c r="E16" s="208"/>
      <c r="F16" s="208"/>
      <c r="G16" s="208"/>
      <c r="H16" s="208"/>
      <c r="I16" s="208"/>
      <c r="J16" s="203"/>
    </row>
    <row r="17">
      <c r="A17" s="209"/>
      <c r="B17" s="199">
        <v>11.0</v>
      </c>
      <c r="C17" s="209"/>
      <c r="D17" s="209"/>
      <c r="E17" s="209"/>
      <c r="F17" s="209"/>
      <c r="G17" s="209"/>
      <c r="H17" s="209"/>
      <c r="I17" s="209"/>
      <c r="J17" s="203"/>
    </row>
    <row r="18">
      <c r="A18" s="204">
        <v>3.0</v>
      </c>
      <c r="B18" s="199">
        <v>12.0</v>
      </c>
      <c r="C18" s="205">
        <v>45441.0</v>
      </c>
      <c r="D18" s="205">
        <v>45532.0</v>
      </c>
      <c r="E18" s="206">
        <v>3.823178016726404</v>
      </c>
      <c r="F18" s="206">
        <v>0.0</v>
      </c>
      <c r="G18" s="206">
        <v>103.33333333333334</v>
      </c>
      <c r="H18" s="206">
        <v>6.451612903225806</v>
      </c>
      <c r="I18" s="206">
        <v>96.82539682539682</v>
      </c>
      <c r="J18" s="203"/>
    </row>
    <row r="19">
      <c r="A19" s="208"/>
      <c r="B19" s="199">
        <v>13.0</v>
      </c>
      <c r="C19" s="208"/>
      <c r="D19" s="208"/>
      <c r="E19" s="208"/>
      <c r="F19" s="208"/>
      <c r="G19" s="208"/>
      <c r="H19" s="208"/>
      <c r="I19" s="208"/>
      <c r="J19" s="203"/>
    </row>
    <row r="20">
      <c r="A20" s="208"/>
      <c r="B20" s="199">
        <v>14.0</v>
      </c>
      <c r="C20" s="208"/>
      <c r="D20" s="208"/>
      <c r="E20" s="208"/>
      <c r="F20" s="208"/>
      <c r="G20" s="208"/>
      <c r="H20" s="208"/>
      <c r="I20" s="208"/>
      <c r="J20" s="203"/>
    </row>
    <row r="21">
      <c r="A21" s="208"/>
      <c r="B21" s="199">
        <v>15.0</v>
      </c>
      <c r="C21" s="208"/>
      <c r="D21" s="208"/>
      <c r="E21" s="208"/>
      <c r="F21" s="208"/>
      <c r="G21" s="208"/>
      <c r="H21" s="208"/>
      <c r="I21" s="208"/>
      <c r="J21" s="203"/>
    </row>
    <row r="22">
      <c r="A22" s="208"/>
      <c r="B22" s="199">
        <v>16.0</v>
      </c>
      <c r="C22" s="208"/>
      <c r="D22" s="208"/>
      <c r="E22" s="208"/>
      <c r="F22" s="208"/>
      <c r="G22" s="208"/>
      <c r="H22" s="208"/>
      <c r="I22" s="208"/>
      <c r="J22" s="203"/>
    </row>
    <row r="23">
      <c r="A23" s="208"/>
      <c r="B23" s="199">
        <v>17.0</v>
      </c>
      <c r="C23" s="208"/>
      <c r="D23" s="208"/>
      <c r="E23" s="208"/>
      <c r="F23" s="208"/>
      <c r="G23" s="208"/>
      <c r="H23" s="208"/>
      <c r="I23" s="208"/>
      <c r="J23" s="203"/>
    </row>
    <row r="24">
      <c r="A24" s="208"/>
      <c r="B24" s="199">
        <v>18.0</v>
      </c>
      <c r="C24" s="208"/>
      <c r="D24" s="208"/>
      <c r="E24" s="208"/>
      <c r="F24" s="208"/>
      <c r="G24" s="208"/>
      <c r="H24" s="208"/>
      <c r="I24" s="208"/>
      <c r="J24" s="203"/>
    </row>
    <row r="25">
      <c r="A25" s="208"/>
      <c r="B25" s="199">
        <v>19.0</v>
      </c>
      <c r="C25" s="208"/>
      <c r="D25" s="208"/>
      <c r="E25" s="208"/>
      <c r="F25" s="208"/>
      <c r="G25" s="208"/>
      <c r="H25" s="208"/>
      <c r="I25" s="208"/>
      <c r="J25" s="203"/>
    </row>
    <row r="26">
      <c r="A26" s="208"/>
      <c r="B26" s="199">
        <v>20.0</v>
      </c>
      <c r="C26" s="208"/>
      <c r="D26" s="208"/>
      <c r="E26" s="208"/>
      <c r="F26" s="208"/>
      <c r="G26" s="208"/>
      <c r="H26" s="208"/>
      <c r="I26" s="208"/>
      <c r="J26" s="203"/>
    </row>
    <row r="27">
      <c r="A27" s="208"/>
      <c r="B27" s="199">
        <v>21.0</v>
      </c>
      <c r="C27" s="208"/>
      <c r="D27" s="208"/>
      <c r="E27" s="208"/>
      <c r="F27" s="208"/>
      <c r="G27" s="208"/>
      <c r="H27" s="208"/>
      <c r="I27" s="208"/>
      <c r="J27" s="203"/>
    </row>
    <row r="28">
      <c r="A28" s="208"/>
      <c r="B28" s="199">
        <v>22.0</v>
      </c>
      <c r="C28" s="208"/>
      <c r="D28" s="208"/>
      <c r="E28" s="208"/>
      <c r="F28" s="208"/>
      <c r="G28" s="208"/>
      <c r="H28" s="208"/>
      <c r="I28" s="208"/>
      <c r="J28" s="203"/>
    </row>
    <row r="29">
      <c r="A29" s="209"/>
      <c r="B29" s="199">
        <v>23.0</v>
      </c>
      <c r="C29" s="209"/>
      <c r="D29" s="209"/>
      <c r="E29" s="209"/>
      <c r="F29" s="209"/>
      <c r="G29" s="209"/>
      <c r="H29" s="209"/>
      <c r="I29" s="209"/>
      <c r="J29" s="203"/>
    </row>
    <row r="30">
      <c r="A30" s="204">
        <v>4.0</v>
      </c>
      <c r="B30" s="199">
        <v>24.0</v>
      </c>
      <c r="C30" s="205">
        <v>45532.0</v>
      </c>
      <c r="D30" s="205">
        <v>45588.0</v>
      </c>
      <c r="E30" s="206">
        <v>11.882287617990006</v>
      </c>
      <c r="F30" s="206">
        <v>0.0</v>
      </c>
      <c r="G30" s="206">
        <v>98.20065430752453</v>
      </c>
      <c r="H30" s="206">
        <v>15.324819544697391</v>
      </c>
      <c r="I30" s="206">
        <v>85.71428571428571</v>
      </c>
      <c r="J30" s="203"/>
    </row>
    <row r="31">
      <c r="A31" s="208"/>
      <c r="B31" s="199">
        <v>25.0</v>
      </c>
      <c r="C31" s="208"/>
      <c r="D31" s="208"/>
      <c r="E31" s="208"/>
      <c r="F31" s="208"/>
      <c r="G31" s="208"/>
      <c r="H31" s="208"/>
      <c r="I31" s="208"/>
      <c r="J31" s="203"/>
    </row>
    <row r="32">
      <c r="A32" s="208"/>
      <c r="B32" s="199">
        <v>26.0</v>
      </c>
      <c r="C32" s="208"/>
      <c r="D32" s="208"/>
      <c r="E32" s="208"/>
      <c r="F32" s="208"/>
      <c r="G32" s="208"/>
      <c r="H32" s="208"/>
      <c r="I32" s="208"/>
      <c r="J32" s="203"/>
    </row>
    <row r="33">
      <c r="A33" s="208"/>
      <c r="B33" s="199">
        <v>27.0</v>
      </c>
      <c r="C33" s="208"/>
      <c r="D33" s="208"/>
      <c r="E33" s="208"/>
      <c r="F33" s="208"/>
      <c r="G33" s="208"/>
      <c r="H33" s="208"/>
      <c r="I33" s="208"/>
      <c r="J33" s="203"/>
    </row>
    <row r="34">
      <c r="A34" s="208"/>
      <c r="B34" s="199">
        <v>28.0</v>
      </c>
      <c r="C34" s="208"/>
      <c r="D34" s="208"/>
      <c r="E34" s="208"/>
      <c r="F34" s="208"/>
      <c r="G34" s="208"/>
      <c r="H34" s="208"/>
      <c r="I34" s="208"/>
      <c r="J34" s="203"/>
    </row>
    <row r="35">
      <c r="A35" s="208"/>
      <c r="B35" s="199">
        <v>29.0</v>
      </c>
      <c r="C35" s="208"/>
      <c r="D35" s="208"/>
      <c r="E35" s="208"/>
      <c r="F35" s="208"/>
      <c r="G35" s="208"/>
      <c r="H35" s="208"/>
      <c r="I35" s="208"/>
      <c r="J35" s="203"/>
    </row>
    <row r="36">
      <c r="A36" s="208"/>
      <c r="B36" s="199">
        <v>30.0</v>
      </c>
      <c r="C36" s="208"/>
      <c r="D36" s="208"/>
      <c r="E36" s="208"/>
      <c r="F36" s="208"/>
      <c r="G36" s="208"/>
      <c r="H36" s="208"/>
      <c r="I36" s="208"/>
      <c r="J36" s="203"/>
    </row>
    <row r="37">
      <c r="A37" s="209"/>
      <c r="B37" s="199">
        <v>31.0</v>
      </c>
      <c r="C37" s="209"/>
      <c r="D37" s="209"/>
      <c r="E37" s="209"/>
      <c r="F37" s="209"/>
      <c r="G37" s="209"/>
      <c r="H37" s="209"/>
      <c r="I37" s="209"/>
      <c r="J37" s="203"/>
    </row>
    <row r="38">
      <c r="A38" s="204">
        <v>5.0</v>
      </c>
      <c r="B38" s="199">
        <v>32.0</v>
      </c>
      <c r="C38" s="205">
        <v>45588.0</v>
      </c>
      <c r="D38" s="205">
        <v>45651.0</v>
      </c>
      <c r="E38" s="206" t="e">
        <v>#NUM!</v>
      </c>
      <c r="F38" s="206" t="e">
        <v>#NUM!</v>
      </c>
      <c r="G38" s="206" t="e">
        <v>#NUM!</v>
      </c>
      <c r="H38" s="206" t="e">
        <v>#NUM!</v>
      </c>
      <c r="I38" s="206" t="e">
        <v>#NUM!</v>
      </c>
      <c r="J38" s="203"/>
    </row>
    <row r="39">
      <c r="A39" s="208"/>
      <c r="B39" s="199">
        <v>33.0</v>
      </c>
      <c r="C39" s="208"/>
      <c r="D39" s="208"/>
      <c r="E39" s="208"/>
      <c r="F39" s="208"/>
      <c r="G39" s="208"/>
      <c r="H39" s="208"/>
      <c r="I39" s="208"/>
      <c r="J39" s="203"/>
    </row>
    <row r="40">
      <c r="A40" s="208"/>
      <c r="B40" s="199">
        <v>34.0</v>
      </c>
      <c r="C40" s="208"/>
      <c r="D40" s="208"/>
      <c r="E40" s="208"/>
      <c r="F40" s="208"/>
      <c r="G40" s="208"/>
      <c r="H40" s="208"/>
      <c r="I40" s="208"/>
      <c r="J40" s="203"/>
    </row>
    <row r="41">
      <c r="A41" s="208"/>
      <c r="B41" s="199">
        <v>35.0</v>
      </c>
      <c r="C41" s="208"/>
      <c r="D41" s="208"/>
      <c r="E41" s="208"/>
      <c r="F41" s="208"/>
      <c r="G41" s="208"/>
      <c r="H41" s="208"/>
      <c r="I41" s="208"/>
      <c r="J41" s="203"/>
    </row>
    <row r="42">
      <c r="A42" s="208"/>
      <c r="B42" s="199">
        <v>36.0</v>
      </c>
      <c r="C42" s="208"/>
      <c r="D42" s="208"/>
      <c r="E42" s="208"/>
      <c r="F42" s="208"/>
      <c r="G42" s="208"/>
      <c r="H42" s="208"/>
      <c r="I42" s="208"/>
      <c r="J42" s="203"/>
    </row>
    <row r="43">
      <c r="A43" s="208"/>
      <c r="B43" s="199">
        <v>37.0</v>
      </c>
      <c r="C43" s="208"/>
      <c r="D43" s="208"/>
      <c r="E43" s="208"/>
      <c r="F43" s="208"/>
      <c r="G43" s="208"/>
      <c r="H43" s="208"/>
      <c r="I43" s="208"/>
      <c r="J43" s="203"/>
    </row>
    <row r="44">
      <c r="A44" s="208"/>
      <c r="B44" s="199">
        <v>38.0</v>
      </c>
      <c r="C44" s="208"/>
      <c r="D44" s="208"/>
      <c r="E44" s="208"/>
      <c r="F44" s="208"/>
      <c r="G44" s="208"/>
      <c r="H44" s="208"/>
      <c r="I44" s="208"/>
      <c r="J44" s="203"/>
    </row>
    <row r="45">
      <c r="A45" s="208"/>
      <c r="B45" s="199">
        <v>39.0</v>
      </c>
      <c r="C45" s="208"/>
      <c r="D45" s="208"/>
      <c r="E45" s="208"/>
      <c r="F45" s="208"/>
      <c r="G45" s="208"/>
      <c r="H45" s="208"/>
      <c r="I45" s="208"/>
      <c r="J45" s="203"/>
    </row>
    <row r="46">
      <c r="A46" s="209"/>
      <c r="B46" s="199">
        <v>40.0</v>
      </c>
      <c r="C46" s="209"/>
      <c r="D46" s="209"/>
      <c r="E46" s="209"/>
      <c r="F46" s="209"/>
      <c r="G46" s="209"/>
      <c r="H46" s="209"/>
      <c r="I46" s="209"/>
      <c r="J46" s="203"/>
    </row>
    <row r="47">
      <c r="A47" s="197"/>
      <c r="B47" s="199"/>
      <c r="C47" s="162"/>
      <c r="D47" s="162"/>
      <c r="E47" s="201"/>
      <c r="F47" s="201"/>
      <c r="G47" s="201"/>
      <c r="H47" s="201"/>
      <c r="I47" s="210"/>
      <c r="J47" s="203"/>
    </row>
    <row r="48">
      <c r="A48" s="197"/>
      <c r="B48" s="199"/>
      <c r="C48" s="162"/>
      <c r="D48" s="162"/>
      <c r="E48" s="201"/>
      <c r="F48" s="201"/>
      <c r="G48" s="201"/>
      <c r="H48" s="201"/>
      <c r="I48" s="210"/>
      <c r="J48" s="203"/>
    </row>
    <row r="49">
      <c r="A49" s="197"/>
      <c r="B49" s="199"/>
      <c r="C49" s="162"/>
      <c r="D49" s="162"/>
      <c r="E49" s="201"/>
      <c r="F49" s="201"/>
      <c r="G49" s="201"/>
      <c r="H49" s="201"/>
      <c r="I49" s="210"/>
      <c r="J49" s="203"/>
    </row>
    <row r="50">
      <c r="A50" s="197"/>
      <c r="B50" s="199"/>
      <c r="C50" s="162"/>
      <c r="D50" s="162"/>
      <c r="E50" s="201"/>
      <c r="F50" s="201"/>
      <c r="G50" s="201"/>
      <c r="H50" s="201"/>
      <c r="I50" s="210"/>
      <c r="J50" s="203"/>
    </row>
    <row r="51">
      <c r="A51" s="197"/>
      <c r="B51" s="199"/>
      <c r="C51" s="162"/>
      <c r="D51" s="162"/>
      <c r="E51" s="201"/>
      <c r="F51" s="201"/>
      <c r="G51" s="201"/>
      <c r="H51" s="201"/>
      <c r="I51" s="210"/>
      <c r="J51" s="203"/>
    </row>
    <row r="52">
      <c r="A52" s="197"/>
      <c r="B52" s="199"/>
      <c r="C52" s="162"/>
      <c r="D52" s="162"/>
      <c r="E52" s="201"/>
      <c r="F52" s="201"/>
      <c r="G52" s="201"/>
      <c r="H52" s="201"/>
      <c r="I52" s="210"/>
      <c r="J52" s="203"/>
    </row>
    <row r="53">
      <c r="A53" s="197"/>
      <c r="B53" s="199"/>
      <c r="C53" s="162"/>
      <c r="D53" s="162"/>
      <c r="E53" s="201"/>
      <c r="F53" s="201"/>
      <c r="G53" s="201"/>
      <c r="H53" s="201"/>
      <c r="I53" s="210"/>
      <c r="J53" s="203"/>
    </row>
    <row r="54">
      <c r="A54" s="197"/>
      <c r="B54" s="199"/>
      <c r="C54" s="162"/>
      <c r="D54" s="162"/>
      <c r="E54" s="201"/>
      <c r="F54" s="201"/>
      <c r="G54" s="201"/>
      <c r="H54" s="201"/>
      <c r="I54" s="210"/>
      <c r="J54" s="203"/>
    </row>
  </sheetData>
  <customSheetViews>
    <customSheetView guid="{E0603825-6846-4218-B292-449A3DAED5E0}" filter="1" showAutoFilter="1">
      <autoFilter ref="$B$6:$J$37"/>
    </customSheetView>
  </customSheetViews>
  <mergeCells count="39">
    <mergeCell ref="A1:B3"/>
    <mergeCell ref="C1:H3"/>
    <mergeCell ref="I1:J1"/>
    <mergeCell ref="I2:J2"/>
    <mergeCell ref="I3:J3"/>
    <mergeCell ref="A4:H4"/>
    <mergeCell ref="I4:J4"/>
    <mergeCell ref="C8:C17"/>
    <mergeCell ref="D8:D17"/>
    <mergeCell ref="E8:E17"/>
    <mergeCell ref="F8:F17"/>
    <mergeCell ref="G8:G17"/>
    <mergeCell ref="H8:H17"/>
    <mergeCell ref="I8:I17"/>
    <mergeCell ref="H18:H29"/>
    <mergeCell ref="I18:I29"/>
    <mergeCell ref="C18:C29"/>
    <mergeCell ref="C30:C37"/>
    <mergeCell ref="D30:D37"/>
    <mergeCell ref="E30:E37"/>
    <mergeCell ref="F30:F37"/>
    <mergeCell ref="G30:G37"/>
    <mergeCell ref="H30:H37"/>
    <mergeCell ref="I30:I37"/>
    <mergeCell ref="A38:A46"/>
    <mergeCell ref="C38:C46"/>
    <mergeCell ref="D38:D46"/>
    <mergeCell ref="E38:E46"/>
    <mergeCell ref="F38:F46"/>
    <mergeCell ref="G38:G46"/>
    <mergeCell ref="H38:H46"/>
    <mergeCell ref="I38:I46"/>
    <mergeCell ref="A8:A17"/>
    <mergeCell ref="A18:A29"/>
    <mergeCell ref="D18:D29"/>
    <mergeCell ref="E18:E29"/>
    <mergeCell ref="F18:F29"/>
    <mergeCell ref="G18:G29"/>
    <mergeCell ref="A30:A37"/>
  </mergeCells>
  <conditionalFormatting sqref="J7:J54">
    <cfRule type="cellIs" dxfId="0" priority="1" operator="greaterThanOrEqual">
      <formula>1</formula>
    </cfRule>
  </conditionalFormatting>
  <conditionalFormatting sqref="F7:F54">
    <cfRule type="cellIs" dxfId="0" priority="2" operator="greaterThanOrEqual">
      <formula>20</formula>
    </cfRule>
  </conditionalFormatting>
  <conditionalFormatting sqref="F7:F54">
    <cfRule type="cellIs" dxfId="1" priority="3" operator="between">
      <formula>20</formula>
      <formula>5</formula>
    </cfRule>
  </conditionalFormatting>
  <conditionalFormatting sqref="F7:F54">
    <cfRule type="cellIs" dxfId="1" priority="4" operator="between">
      <formula>5</formula>
      <formula>0</formula>
    </cfRule>
  </conditionalFormatting>
  <conditionalFormatting sqref="E7:E54">
    <cfRule type="cellIs" dxfId="0" priority="5" operator="greaterThanOrEqual">
      <formula>0.5</formula>
    </cfRule>
  </conditionalFormatting>
  <conditionalFormatting sqref="E7:E54">
    <cfRule type="cellIs" dxfId="1" priority="6" operator="between">
      <formula>0.5</formula>
      <formula>0.05</formula>
    </cfRule>
  </conditionalFormatting>
  <conditionalFormatting sqref="E7:E54">
    <cfRule type="cellIs" dxfId="1" priority="7" operator="between">
      <formula>0.25</formula>
      <formula>0</formula>
    </cfRule>
  </conditionalFormatting>
  <conditionalFormatting sqref="H7:H54">
    <cfRule type="cellIs" dxfId="1" priority="8" operator="between">
      <formula>20</formula>
      <formula>5</formula>
    </cfRule>
  </conditionalFormatting>
  <conditionalFormatting sqref="H7:H54">
    <cfRule type="cellIs" dxfId="0" priority="9" operator="greaterThanOrEqual">
      <formula>20</formula>
    </cfRule>
  </conditionalFormatting>
  <conditionalFormatting sqref="H7:H54">
    <cfRule type="cellIs" dxfId="2" priority="10" operator="lessThanOrEqual">
      <formula>20</formula>
    </cfRule>
  </conditionalFormatting>
  <conditionalFormatting sqref="G7:G54">
    <cfRule type="cellIs" dxfId="1" priority="11" operator="between">
      <formula>110</formula>
      <formula>95</formula>
    </cfRule>
  </conditionalFormatting>
  <conditionalFormatting sqref="G7:G54">
    <cfRule type="cellIs" dxfId="1" priority="12" operator="between">
      <formula>95</formula>
      <formula>80</formula>
    </cfRule>
  </conditionalFormatting>
  <conditionalFormatting sqref="G7:G54">
    <cfRule type="cellIs" dxfId="0" priority="13" operator="lessThanOrEqual">
      <formula>80</formula>
    </cfRule>
  </conditionalFormatting>
  <conditionalFormatting sqref="G7:G54">
    <cfRule type="cellIs" dxfId="0" priority="14" operator="greaterThanOrEqual">
      <formula>110</formula>
    </cfRule>
  </conditionalFormatting>
  <conditionalFormatting sqref="J8">
    <cfRule type="cellIs" dxfId="1" priority="15" operator="lessThan">
      <formula>-1</formula>
    </cfRule>
  </conditionalFormatting>
  <conditionalFormatting sqref="I7:I54">
    <cfRule type="cellIs" dxfId="1" priority="16" operator="between">
      <formula>110</formula>
      <formula>90</formula>
    </cfRule>
  </conditionalFormatting>
  <conditionalFormatting sqref="I7:I54">
    <cfRule type="cellIs" dxfId="0" priority="17" operator="lessThanOrEqual">
      <formula>90</formula>
    </cfRule>
  </conditionalFormatting>
  <conditionalFormatting sqref="I7:I54">
    <cfRule type="cellIs" dxfId="1" priority="18" operator="greaterThanOrEqual">
      <formula>110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1.0"/>
    <col customWidth="1" min="2" max="2" width="17.88"/>
    <col customWidth="1" min="3" max="6" width="12.63"/>
  </cols>
  <sheetData>
    <row r="1" ht="15.75" customHeight="1">
      <c r="A1" s="5"/>
      <c r="B1" s="10"/>
      <c r="C1" s="2" t="s">
        <v>107</v>
      </c>
      <c r="D1" s="4"/>
      <c r="E1" s="4"/>
      <c r="F1" s="10"/>
      <c r="G1" s="14" t="s">
        <v>1</v>
      </c>
      <c r="I1" s="3"/>
      <c r="J1" s="229"/>
      <c r="K1" s="229"/>
      <c r="L1" s="229"/>
      <c r="M1" s="229"/>
      <c r="N1" s="229"/>
      <c r="O1" s="229"/>
      <c r="P1" s="229"/>
      <c r="Q1" s="229"/>
      <c r="R1" s="229"/>
      <c r="S1" s="229"/>
      <c r="T1" s="229"/>
      <c r="U1" s="229"/>
      <c r="V1" s="229"/>
      <c r="W1" s="229"/>
      <c r="X1" s="229"/>
      <c r="Y1" s="229"/>
      <c r="Z1" s="229"/>
    </row>
    <row r="2" ht="15.75" customHeight="1">
      <c r="A2" s="9"/>
      <c r="B2" s="3"/>
      <c r="C2" s="9"/>
      <c r="F2" s="3"/>
      <c r="G2" s="14" t="s">
        <v>2</v>
      </c>
      <c r="I2" s="3"/>
      <c r="J2" s="229"/>
      <c r="K2" s="229"/>
      <c r="L2" s="229"/>
      <c r="M2" s="229"/>
      <c r="N2" s="229"/>
      <c r="O2" s="229"/>
      <c r="P2" s="229"/>
      <c r="Q2" s="229"/>
      <c r="R2" s="229"/>
      <c r="S2" s="229"/>
      <c r="T2" s="229"/>
      <c r="U2" s="229"/>
      <c r="V2" s="229"/>
      <c r="W2" s="229"/>
      <c r="X2" s="229"/>
      <c r="Y2" s="229"/>
      <c r="Z2" s="229"/>
    </row>
    <row r="3" ht="15.75" customHeight="1">
      <c r="A3" s="9"/>
      <c r="B3" s="3"/>
      <c r="C3" s="9"/>
      <c r="F3" s="3"/>
      <c r="G3" s="14" t="s">
        <v>3</v>
      </c>
      <c r="I3" s="3"/>
      <c r="J3" s="229"/>
      <c r="K3" s="229"/>
      <c r="L3" s="229"/>
      <c r="M3" s="229"/>
      <c r="N3" s="229"/>
      <c r="O3" s="229"/>
      <c r="P3" s="229"/>
      <c r="Q3" s="229"/>
      <c r="R3" s="229"/>
      <c r="S3" s="229"/>
      <c r="T3" s="229"/>
      <c r="U3" s="229"/>
      <c r="V3" s="229"/>
      <c r="W3" s="229"/>
      <c r="X3" s="229"/>
      <c r="Y3" s="229"/>
      <c r="Z3" s="229"/>
    </row>
    <row r="4" ht="15.75" customHeight="1">
      <c r="A4" s="12" t="s">
        <v>4</v>
      </c>
      <c r="B4" s="15"/>
      <c r="C4" s="15"/>
      <c r="D4" s="15"/>
      <c r="E4" s="15"/>
      <c r="F4" s="13"/>
      <c r="G4" s="23" t="s">
        <v>5</v>
      </c>
      <c r="H4" s="15"/>
      <c r="I4" s="13"/>
      <c r="J4" s="229"/>
      <c r="K4" s="229"/>
      <c r="L4" s="229"/>
      <c r="M4" s="229"/>
      <c r="N4" s="229"/>
      <c r="O4" s="229"/>
      <c r="P4" s="229"/>
      <c r="Q4" s="229"/>
      <c r="R4" s="229"/>
      <c r="S4" s="229"/>
      <c r="T4" s="229"/>
      <c r="U4" s="229"/>
      <c r="V4" s="229"/>
      <c r="W4" s="229"/>
      <c r="X4" s="229"/>
      <c r="Y4" s="229"/>
      <c r="Z4" s="229"/>
    </row>
    <row r="5" ht="15.75" customHeight="1">
      <c r="A5" s="229"/>
      <c r="B5" s="229"/>
      <c r="C5" s="229"/>
      <c r="D5" s="229"/>
      <c r="E5" s="230"/>
      <c r="F5" s="229"/>
      <c r="G5" s="229"/>
      <c r="H5" s="229"/>
      <c r="I5" s="229"/>
      <c r="J5" s="229"/>
      <c r="K5" s="229"/>
      <c r="L5" s="229"/>
      <c r="M5" s="229"/>
      <c r="N5" s="229"/>
      <c r="O5" s="229"/>
      <c r="P5" s="229"/>
      <c r="Q5" s="229"/>
      <c r="R5" s="229"/>
      <c r="S5" s="229"/>
      <c r="T5" s="229"/>
      <c r="U5" s="229"/>
      <c r="V5" s="229"/>
      <c r="W5" s="229"/>
      <c r="X5" s="229"/>
      <c r="Y5" s="229"/>
      <c r="Z5" s="229"/>
    </row>
    <row r="6" ht="15.75" customHeight="1">
      <c r="A6" s="231"/>
      <c r="B6" s="231"/>
      <c r="C6" s="231"/>
      <c r="D6" s="231"/>
      <c r="E6" s="232"/>
      <c r="F6" s="231"/>
      <c r="G6" s="231"/>
      <c r="H6" s="231"/>
      <c r="I6" s="231"/>
      <c r="J6" s="231"/>
      <c r="K6" s="231"/>
      <c r="L6" s="231"/>
      <c r="M6" s="231"/>
      <c r="N6" s="231"/>
      <c r="O6" s="231"/>
      <c r="P6" s="231"/>
      <c r="Q6" s="231"/>
      <c r="R6" s="231"/>
      <c r="S6" s="231"/>
      <c r="T6" s="231"/>
      <c r="U6" s="231"/>
      <c r="V6" s="231"/>
      <c r="W6" s="231"/>
      <c r="X6" s="231"/>
      <c r="Y6" s="231"/>
      <c r="Z6" s="231"/>
    </row>
    <row r="7" ht="15.75" customHeight="1">
      <c r="C7" s="235" t="s">
        <v>91</v>
      </c>
      <c r="D7" s="236" t="s">
        <v>92</v>
      </c>
      <c r="E7" s="237" t="s">
        <v>93</v>
      </c>
      <c r="F7" s="238"/>
      <c r="G7" s="238"/>
      <c r="H7" s="238"/>
      <c r="I7" s="238"/>
      <c r="J7" s="238"/>
      <c r="K7" s="238"/>
      <c r="L7" s="238"/>
      <c r="M7" s="238"/>
      <c r="N7" s="238"/>
      <c r="O7" s="238"/>
      <c r="P7" s="238"/>
      <c r="Q7" s="238"/>
      <c r="R7" s="238"/>
      <c r="S7" s="238"/>
      <c r="T7" s="238"/>
      <c r="U7" s="238"/>
      <c r="V7" s="238"/>
      <c r="W7" s="238"/>
      <c r="X7" s="238"/>
      <c r="Y7" s="238"/>
      <c r="Z7" s="238"/>
    </row>
    <row r="8" ht="15.75" customHeight="1">
      <c r="C8" s="37">
        <v>0.5</v>
      </c>
      <c r="D8" s="37">
        <v>0.05</v>
      </c>
      <c r="E8" s="37">
        <v>0.0</v>
      </c>
      <c r="F8" s="238"/>
      <c r="G8" s="238"/>
      <c r="H8" s="238"/>
      <c r="I8" s="238"/>
      <c r="J8" s="238"/>
      <c r="K8" s="238"/>
      <c r="L8" s="238"/>
      <c r="M8" s="238"/>
      <c r="N8" s="238"/>
      <c r="O8" s="238"/>
      <c r="P8" s="238"/>
      <c r="Q8" s="238"/>
      <c r="R8" s="238"/>
      <c r="S8" s="238"/>
      <c r="T8" s="238"/>
      <c r="U8" s="238"/>
      <c r="V8" s="238"/>
      <c r="W8" s="238"/>
      <c r="X8" s="238"/>
      <c r="Y8" s="238"/>
      <c r="Z8" s="238"/>
    </row>
    <row r="9" ht="15.75" customHeight="1">
      <c r="C9" s="37">
        <v>0.5</v>
      </c>
      <c r="D9" s="37">
        <v>0.05</v>
      </c>
      <c r="E9" s="37">
        <v>0.0</v>
      </c>
      <c r="F9" s="238"/>
      <c r="G9" s="238"/>
      <c r="H9" s="238"/>
      <c r="I9" s="238"/>
      <c r="J9" s="238"/>
      <c r="K9" s="238"/>
      <c r="L9" s="238"/>
      <c r="M9" s="238"/>
      <c r="N9" s="238"/>
      <c r="O9" s="238"/>
      <c r="P9" s="238"/>
      <c r="Q9" s="238"/>
      <c r="R9" s="238"/>
      <c r="S9" s="238"/>
      <c r="T9" s="238"/>
      <c r="U9" s="238"/>
      <c r="V9" s="238"/>
      <c r="W9" s="238"/>
      <c r="X9" s="238"/>
      <c r="Y9" s="238"/>
      <c r="Z9" s="238"/>
    </row>
    <row r="10" ht="15.75" customHeight="1">
      <c r="C10" s="37">
        <v>0.5</v>
      </c>
      <c r="D10" s="37">
        <v>0.05</v>
      </c>
      <c r="E10" s="37">
        <v>0.0</v>
      </c>
      <c r="F10" s="238"/>
      <c r="G10" s="238"/>
      <c r="H10" s="238"/>
      <c r="I10" s="238"/>
      <c r="J10" s="238"/>
      <c r="K10" s="238"/>
      <c r="L10" s="238"/>
      <c r="M10" s="238"/>
      <c r="N10" s="238"/>
      <c r="O10" s="238"/>
      <c r="P10" s="238"/>
      <c r="Q10" s="238"/>
      <c r="R10" s="238"/>
      <c r="S10" s="238"/>
      <c r="T10" s="238"/>
      <c r="U10" s="238"/>
      <c r="V10" s="238"/>
      <c r="W10" s="238"/>
      <c r="X10" s="238"/>
      <c r="Y10" s="238"/>
      <c r="Z10" s="238"/>
    </row>
    <row r="11" ht="15.75" customHeight="1">
      <c r="C11" s="37">
        <v>0.5</v>
      </c>
      <c r="D11" s="37">
        <v>0.05</v>
      </c>
      <c r="E11" s="37">
        <v>0.0</v>
      </c>
      <c r="F11" s="238"/>
      <c r="G11" s="238"/>
      <c r="H11" s="238"/>
      <c r="I11" s="238"/>
      <c r="J11" s="238"/>
      <c r="K11" s="238"/>
      <c r="L11" s="238"/>
      <c r="M11" s="238"/>
      <c r="N11" s="238"/>
      <c r="O11" s="238"/>
      <c r="P11" s="238"/>
      <c r="Q11" s="238"/>
      <c r="R11" s="238"/>
      <c r="S11" s="238"/>
      <c r="T11" s="238"/>
      <c r="U11" s="238"/>
      <c r="V11" s="238"/>
      <c r="W11" s="238"/>
      <c r="X11" s="238"/>
      <c r="Y11" s="238"/>
      <c r="Z11" s="238"/>
    </row>
    <row r="12" ht="15.75" customHeight="1">
      <c r="C12" s="37">
        <v>0.5</v>
      </c>
      <c r="D12" s="37">
        <v>0.05</v>
      </c>
      <c r="E12" s="37">
        <v>0.0</v>
      </c>
      <c r="F12" s="238"/>
      <c r="G12" s="238"/>
      <c r="H12" s="238"/>
      <c r="I12" s="238"/>
      <c r="J12" s="238"/>
      <c r="K12" s="238"/>
      <c r="L12" s="238"/>
      <c r="M12" s="238"/>
      <c r="N12" s="238"/>
      <c r="O12" s="238"/>
      <c r="P12" s="238"/>
      <c r="Q12" s="238"/>
      <c r="R12" s="238"/>
      <c r="S12" s="238"/>
      <c r="T12" s="238"/>
      <c r="U12" s="238"/>
      <c r="V12" s="238"/>
      <c r="W12" s="238"/>
      <c r="X12" s="238"/>
      <c r="Y12" s="238"/>
      <c r="Z12" s="238"/>
    </row>
    <row r="13" ht="15.75" customHeight="1">
      <c r="C13" s="37">
        <v>0.5</v>
      </c>
      <c r="D13" s="37">
        <v>0.05</v>
      </c>
      <c r="E13" s="37">
        <v>0.0</v>
      </c>
      <c r="F13" s="238"/>
      <c r="G13" s="238"/>
      <c r="H13" s="238"/>
      <c r="I13" s="238"/>
      <c r="J13" s="238"/>
      <c r="K13" s="238"/>
      <c r="L13" s="238"/>
      <c r="M13" s="238"/>
      <c r="N13" s="238"/>
      <c r="O13" s="238"/>
      <c r="P13" s="238"/>
      <c r="Q13" s="238"/>
      <c r="R13" s="238"/>
      <c r="S13" s="238"/>
      <c r="T13" s="238"/>
      <c r="U13" s="238"/>
      <c r="V13" s="238"/>
      <c r="W13" s="238"/>
      <c r="X13" s="238"/>
      <c r="Y13" s="238"/>
      <c r="Z13" s="238"/>
    </row>
    <row r="14" ht="15.75" customHeight="1">
      <c r="C14" s="37">
        <v>0.5</v>
      </c>
      <c r="D14" s="37">
        <v>0.05</v>
      </c>
      <c r="E14" s="37">
        <v>0.0</v>
      </c>
      <c r="F14" s="238"/>
      <c r="G14" s="238"/>
      <c r="H14" s="238"/>
      <c r="I14" s="238"/>
      <c r="J14" s="238"/>
      <c r="K14" s="238"/>
      <c r="L14" s="238"/>
      <c r="M14" s="238"/>
      <c r="N14" s="238"/>
      <c r="O14" s="238"/>
      <c r="P14" s="238"/>
      <c r="Q14" s="238"/>
      <c r="R14" s="238"/>
      <c r="S14" s="238"/>
      <c r="T14" s="238"/>
      <c r="U14" s="238"/>
      <c r="V14" s="238"/>
      <c r="W14" s="238"/>
      <c r="X14" s="238"/>
      <c r="Y14" s="238"/>
      <c r="Z14" s="238"/>
    </row>
    <row r="15" ht="15.75" customHeight="1">
      <c r="C15" s="37">
        <v>0.5</v>
      </c>
      <c r="D15" s="37">
        <v>0.05</v>
      </c>
      <c r="E15" s="37">
        <v>0.0</v>
      </c>
      <c r="F15" s="238"/>
      <c r="G15" s="238"/>
      <c r="H15" s="238"/>
      <c r="I15" s="238"/>
      <c r="J15" s="238"/>
      <c r="K15" s="238"/>
      <c r="L15" s="238"/>
      <c r="M15" s="238"/>
      <c r="N15" s="238"/>
      <c r="O15" s="238"/>
      <c r="P15" s="238"/>
      <c r="Q15" s="238"/>
      <c r="R15" s="238"/>
      <c r="S15" s="238"/>
      <c r="T15" s="238"/>
      <c r="U15" s="238"/>
      <c r="V15" s="238"/>
      <c r="W15" s="238"/>
      <c r="X15" s="238"/>
      <c r="Y15" s="238"/>
      <c r="Z15" s="238"/>
    </row>
    <row r="16" ht="15.75" customHeight="1">
      <c r="C16" s="37">
        <v>0.5</v>
      </c>
      <c r="D16" s="37">
        <v>0.05</v>
      </c>
      <c r="E16" s="37">
        <v>0.0</v>
      </c>
      <c r="F16" s="238"/>
      <c r="G16" s="238"/>
      <c r="H16" s="238"/>
      <c r="I16" s="238"/>
      <c r="J16" s="238"/>
      <c r="K16" s="238"/>
      <c r="L16" s="238"/>
      <c r="M16" s="238"/>
      <c r="N16" s="238"/>
      <c r="O16" s="238"/>
      <c r="P16" s="238"/>
      <c r="Q16" s="238"/>
      <c r="R16" s="238"/>
      <c r="S16" s="238"/>
      <c r="T16" s="238"/>
      <c r="U16" s="238"/>
      <c r="V16" s="238"/>
      <c r="W16" s="238"/>
      <c r="X16" s="238"/>
      <c r="Y16" s="238"/>
      <c r="Z16" s="238"/>
    </row>
    <row r="17" ht="15.75" customHeight="1">
      <c r="C17" s="37">
        <v>0.5</v>
      </c>
      <c r="D17" s="37">
        <v>0.05</v>
      </c>
      <c r="E17" s="37">
        <v>0.0</v>
      </c>
      <c r="F17" s="238"/>
      <c r="G17" s="238"/>
      <c r="H17" s="238"/>
      <c r="I17" s="238"/>
      <c r="J17" s="238"/>
      <c r="K17" s="238"/>
      <c r="L17" s="238"/>
      <c r="M17" s="238"/>
      <c r="N17" s="238"/>
      <c r="O17" s="238"/>
      <c r="P17" s="238"/>
      <c r="Q17" s="238"/>
      <c r="R17" s="238"/>
      <c r="S17" s="238"/>
      <c r="T17" s="238"/>
      <c r="U17" s="238"/>
      <c r="V17" s="238"/>
      <c r="W17" s="238"/>
      <c r="X17" s="238"/>
      <c r="Y17" s="238"/>
      <c r="Z17" s="238"/>
    </row>
    <row r="18" ht="15.75" customHeight="1">
      <c r="C18" s="37">
        <v>0.5</v>
      </c>
      <c r="D18" s="37">
        <v>0.05</v>
      </c>
      <c r="E18" s="37">
        <v>0.0</v>
      </c>
      <c r="F18" s="238"/>
      <c r="G18" s="238"/>
      <c r="H18" s="238"/>
      <c r="I18" s="238"/>
      <c r="J18" s="238"/>
      <c r="K18" s="238"/>
      <c r="L18" s="238"/>
      <c r="M18" s="238"/>
      <c r="N18" s="238"/>
      <c r="O18" s="238"/>
      <c r="P18" s="238"/>
      <c r="Q18" s="238"/>
      <c r="R18" s="238"/>
      <c r="S18" s="238"/>
      <c r="T18" s="238"/>
      <c r="U18" s="238"/>
      <c r="V18" s="238"/>
      <c r="W18" s="238"/>
      <c r="X18" s="238"/>
      <c r="Y18" s="238"/>
      <c r="Z18" s="238"/>
    </row>
    <row r="19" ht="15.75" customHeight="1">
      <c r="C19" s="37">
        <v>0.5</v>
      </c>
      <c r="D19" s="37">
        <v>0.05</v>
      </c>
      <c r="E19" s="37">
        <v>0.0</v>
      </c>
      <c r="F19" s="238"/>
      <c r="G19" s="238"/>
      <c r="H19" s="238"/>
      <c r="I19" s="238"/>
      <c r="J19" s="238"/>
      <c r="K19" s="238"/>
      <c r="L19" s="238"/>
      <c r="M19" s="238"/>
      <c r="N19" s="238"/>
      <c r="O19" s="238"/>
      <c r="P19" s="238"/>
      <c r="Q19" s="238"/>
      <c r="R19" s="238"/>
      <c r="S19" s="238"/>
      <c r="T19" s="238"/>
      <c r="U19" s="238"/>
      <c r="V19" s="238"/>
      <c r="W19" s="238"/>
      <c r="X19" s="238"/>
      <c r="Y19" s="238"/>
      <c r="Z19" s="238"/>
    </row>
    <row r="20" ht="15.75" customHeight="1">
      <c r="C20" s="37">
        <v>0.5</v>
      </c>
      <c r="D20" s="37">
        <v>0.05</v>
      </c>
      <c r="E20" s="37">
        <v>0.0</v>
      </c>
      <c r="F20" s="238"/>
      <c r="G20" s="238"/>
      <c r="H20" s="238"/>
      <c r="I20" s="238"/>
      <c r="J20" s="238"/>
      <c r="K20" s="238"/>
      <c r="L20" s="238"/>
      <c r="M20" s="238"/>
      <c r="N20" s="238"/>
      <c r="O20" s="238"/>
      <c r="P20" s="238"/>
      <c r="Q20" s="238"/>
      <c r="R20" s="238"/>
      <c r="S20" s="238"/>
      <c r="T20" s="238"/>
      <c r="U20" s="238"/>
      <c r="V20" s="238"/>
      <c r="W20" s="238"/>
      <c r="X20" s="238"/>
      <c r="Y20" s="238"/>
      <c r="Z20" s="238"/>
    </row>
    <row r="21" ht="15.75" customHeight="1">
      <c r="C21" s="37">
        <v>0.5</v>
      </c>
      <c r="D21" s="37">
        <v>0.05</v>
      </c>
      <c r="E21" s="37">
        <v>0.0</v>
      </c>
      <c r="F21" s="238"/>
      <c r="G21" s="238"/>
      <c r="H21" s="238"/>
      <c r="I21" s="238"/>
      <c r="J21" s="238"/>
      <c r="K21" s="238"/>
      <c r="L21" s="238"/>
      <c r="M21" s="238"/>
      <c r="N21" s="238"/>
      <c r="O21" s="238"/>
      <c r="P21" s="238"/>
      <c r="Q21" s="238"/>
      <c r="R21" s="238"/>
      <c r="S21" s="238"/>
      <c r="T21" s="238"/>
      <c r="U21" s="238"/>
      <c r="V21" s="238"/>
      <c r="W21" s="238"/>
      <c r="X21" s="238"/>
      <c r="Y21" s="238"/>
      <c r="Z21" s="238"/>
    </row>
    <row r="22" ht="15.75" customHeight="1">
      <c r="C22" s="37">
        <v>0.5</v>
      </c>
      <c r="D22" s="37">
        <v>0.05</v>
      </c>
      <c r="E22" s="37">
        <v>0.0</v>
      </c>
      <c r="F22" s="238"/>
      <c r="G22" s="238"/>
      <c r="H22" s="238"/>
      <c r="I22" s="238"/>
      <c r="J22" s="238"/>
      <c r="K22" s="238"/>
      <c r="L22" s="238"/>
      <c r="M22" s="238"/>
      <c r="N22" s="238"/>
      <c r="O22" s="238"/>
      <c r="P22" s="238"/>
      <c r="Q22" s="238"/>
      <c r="R22" s="238"/>
      <c r="S22" s="238"/>
      <c r="T22" s="238"/>
      <c r="U22" s="238"/>
      <c r="V22" s="238"/>
      <c r="W22" s="238"/>
      <c r="X22" s="238"/>
      <c r="Y22" s="238"/>
      <c r="Z22" s="238"/>
    </row>
    <row r="23" ht="15.75" customHeight="1">
      <c r="C23" s="37">
        <v>0.5</v>
      </c>
      <c r="D23" s="37">
        <v>0.05</v>
      </c>
      <c r="E23" s="37">
        <v>0.0</v>
      </c>
      <c r="F23" s="238"/>
      <c r="G23" s="238"/>
      <c r="H23" s="238"/>
      <c r="I23" s="238"/>
      <c r="J23" s="238"/>
      <c r="K23" s="238"/>
      <c r="L23" s="238"/>
      <c r="M23" s="238"/>
      <c r="N23" s="238"/>
      <c r="O23" s="238"/>
      <c r="P23" s="238"/>
      <c r="Q23" s="238"/>
      <c r="R23" s="238"/>
      <c r="S23" s="238"/>
      <c r="T23" s="238"/>
      <c r="U23" s="238"/>
      <c r="V23" s="238"/>
      <c r="W23" s="238"/>
      <c r="X23" s="238"/>
      <c r="Y23" s="238"/>
      <c r="Z23" s="238"/>
    </row>
    <row r="24" ht="15.75" customHeight="1">
      <c r="C24" s="37">
        <v>0.5</v>
      </c>
      <c r="D24" s="37">
        <v>0.05</v>
      </c>
      <c r="E24" s="37">
        <v>0.0</v>
      </c>
      <c r="F24" s="238"/>
      <c r="G24" s="238"/>
      <c r="H24" s="238"/>
      <c r="I24" s="238"/>
      <c r="J24" s="238"/>
      <c r="K24" s="238"/>
      <c r="L24" s="238"/>
      <c r="M24" s="238"/>
      <c r="N24" s="238"/>
      <c r="O24" s="238"/>
      <c r="P24" s="238"/>
      <c r="Q24" s="238"/>
      <c r="R24" s="238"/>
      <c r="S24" s="238"/>
      <c r="T24" s="238"/>
      <c r="U24" s="238"/>
      <c r="V24" s="238"/>
      <c r="W24" s="238"/>
      <c r="X24" s="238"/>
      <c r="Y24" s="238"/>
      <c r="Z24" s="238"/>
    </row>
    <row r="25" ht="15.75" customHeight="1">
      <c r="C25" s="37">
        <v>0.5</v>
      </c>
      <c r="D25" s="37">
        <v>0.05</v>
      </c>
      <c r="E25" s="37">
        <v>0.0</v>
      </c>
      <c r="F25" s="238"/>
      <c r="G25" s="238"/>
      <c r="H25" s="238"/>
      <c r="I25" s="238"/>
      <c r="J25" s="238"/>
      <c r="K25" s="238"/>
      <c r="L25" s="238"/>
      <c r="M25" s="238"/>
      <c r="N25" s="238"/>
      <c r="O25" s="238"/>
      <c r="P25" s="238"/>
      <c r="Q25" s="238"/>
      <c r="R25" s="238"/>
      <c r="S25" s="238"/>
      <c r="T25" s="238"/>
      <c r="U25" s="238"/>
      <c r="V25" s="238"/>
      <c r="W25" s="238"/>
      <c r="X25" s="238"/>
      <c r="Y25" s="238"/>
      <c r="Z25" s="238"/>
    </row>
    <row r="26" ht="15.75" customHeight="1">
      <c r="F26" s="238"/>
      <c r="G26" s="238"/>
      <c r="H26" s="238"/>
      <c r="I26" s="238"/>
      <c r="J26" s="238"/>
      <c r="K26" s="238"/>
      <c r="L26" s="238"/>
      <c r="M26" s="238"/>
      <c r="N26" s="238"/>
      <c r="O26" s="238"/>
      <c r="P26" s="238"/>
      <c r="Q26" s="238"/>
      <c r="R26" s="238"/>
      <c r="S26" s="238"/>
      <c r="T26" s="238"/>
      <c r="U26" s="238"/>
      <c r="V26" s="238"/>
      <c r="W26" s="238"/>
      <c r="X26" s="238"/>
      <c r="Y26" s="238"/>
      <c r="Z26" s="238"/>
    </row>
    <row r="27" ht="15.75" customHeight="1">
      <c r="F27" s="238"/>
      <c r="G27" s="238"/>
      <c r="H27" s="238"/>
      <c r="I27" s="238"/>
      <c r="J27" s="238"/>
      <c r="K27" s="238"/>
      <c r="L27" s="238"/>
      <c r="M27" s="238"/>
      <c r="N27" s="238"/>
      <c r="O27" s="238"/>
      <c r="P27" s="238"/>
      <c r="Q27" s="238"/>
      <c r="R27" s="238"/>
      <c r="S27" s="238"/>
      <c r="T27" s="238"/>
      <c r="U27" s="238"/>
      <c r="V27" s="238"/>
      <c r="W27" s="238"/>
      <c r="X27" s="238"/>
      <c r="Y27" s="238"/>
      <c r="Z27" s="238"/>
    </row>
    <row r="28" ht="15.75" customHeight="1">
      <c r="C28" s="235" t="s">
        <v>91</v>
      </c>
      <c r="D28" s="236" t="s">
        <v>92</v>
      </c>
      <c r="E28" s="237" t="s">
        <v>93</v>
      </c>
      <c r="F28" s="238"/>
      <c r="G28" s="238"/>
      <c r="H28" s="238"/>
      <c r="I28" s="238"/>
      <c r="J28" s="238"/>
      <c r="K28" s="238"/>
      <c r="L28" s="238"/>
      <c r="M28" s="238"/>
      <c r="N28" s="238"/>
      <c r="O28" s="238"/>
      <c r="P28" s="238"/>
      <c r="Q28" s="238"/>
      <c r="R28" s="238"/>
      <c r="S28" s="238"/>
      <c r="T28" s="238"/>
      <c r="U28" s="238"/>
      <c r="V28" s="238"/>
      <c r="W28" s="238"/>
      <c r="X28" s="238"/>
      <c r="Y28" s="238"/>
      <c r="Z28" s="238"/>
    </row>
    <row r="29" ht="15.75" customHeight="1">
      <c r="C29" s="128">
        <v>20.0</v>
      </c>
      <c r="D29" s="128">
        <v>5.0</v>
      </c>
      <c r="E29" s="128">
        <v>0.0</v>
      </c>
      <c r="F29" s="238"/>
      <c r="G29" s="238"/>
      <c r="H29" s="238"/>
      <c r="I29" s="238"/>
      <c r="J29" s="238"/>
      <c r="K29" s="238"/>
      <c r="L29" s="238"/>
      <c r="M29" s="238"/>
      <c r="N29" s="238"/>
      <c r="O29" s="238"/>
      <c r="P29" s="238"/>
      <c r="Q29" s="238"/>
      <c r="R29" s="238"/>
      <c r="S29" s="238"/>
      <c r="T29" s="238"/>
      <c r="U29" s="238"/>
      <c r="V29" s="238"/>
      <c r="W29" s="238"/>
      <c r="X29" s="238"/>
      <c r="Y29" s="238"/>
      <c r="Z29" s="238"/>
    </row>
    <row r="30" ht="15.75" customHeight="1">
      <c r="C30" s="128">
        <v>20.0</v>
      </c>
      <c r="D30" s="128">
        <v>5.0</v>
      </c>
      <c r="E30" s="128">
        <v>0.0</v>
      </c>
      <c r="F30" s="238"/>
      <c r="G30" s="238"/>
      <c r="H30" s="238"/>
      <c r="I30" s="238"/>
      <c r="J30" s="238"/>
      <c r="K30" s="238"/>
      <c r="L30" s="238"/>
      <c r="M30" s="238"/>
      <c r="N30" s="238"/>
      <c r="O30" s="238"/>
      <c r="P30" s="238"/>
      <c r="Q30" s="238"/>
      <c r="R30" s="238"/>
      <c r="S30" s="238"/>
      <c r="T30" s="238"/>
      <c r="U30" s="238"/>
      <c r="V30" s="238"/>
      <c r="W30" s="238"/>
      <c r="X30" s="238"/>
      <c r="Y30" s="238"/>
      <c r="Z30" s="238"/>
    </row>
    <row r="31" ht="15.75" customHeight="1">
      <c r="C31" s="128">
        <v>20.0</v>
      </c>
      <c r="D31" s="128">
        <v>5.0</v>
      </c>
      <c r="E31" s="128">
        <v>0.0</v>
      </c>
      <c r="F31" s="238"/>
      <c r="G31" s="238"/>
      <c r="H31" s="238"/>
      <c r="I31" s="238"/>
      <c r="J31" s="238"/>
      <c r="K31" s="238"/>
      <c r="L31" s="238"/>
      <c r="M31" s="238"/>
      <c r="N31" s="238"/>
      <c r="O31" s="238"/>
      <c r="P31" s="238"/>
      <c r="Q31" s="238"/>
      <c r="R31" s="238"/>
      <c r="S31" s="238"/>
      <c r="T31" s="238"/>
      <c r="U31" s="238"/>
      <c r="V31" s="238"/>
      <c r="W31" s="238"/>
      <c r="X31" s="238"/>
      <c r="Y31" s="238"/>
      <c r="Z31" s="238"/>
    </row>
    <row r="32" ht="15.75" customHeight="1">
      <c r="C32" s="128">
        <v>20.0</v>
      </c>
      <c r="D32" s="128">
        <v>5.0</v>
      </c>
      <c r="E32" s="128">
        <v>0.0</v>
      </c>
      <c r="F32" s="238"/>
      <c r="G32" s="238"/>
      <c r="H32" s="238"/>
      <c r="I32" s="238"/>
      <c r="J32" s="238"/>
      <c r="K32" s="238"/>
      <c r="L32" s="238"/>
      <c r="M32" s="238"/>
      <c r="N32" s="238"/>
      <c r="O32" s="238"/>
      <c r="P32" s="238"/>
      <c r="Q32" s="238"/>
      <c r="R32" s="238"/>
      <c r="S32" s="238"/>
      <c r="T32" s="238"/>
      <c r="U32" s="238"/>
      <c r="V32" s="238"/>
      <c r="W32" s="238"/>
      <c r="X32" s="238"/>
      <c r="Y32" s="238"/>
      <c r="Z32" s="238"/>
    </row>
    <row r="33" ht="15.75" customHeight="1">
      <c r="C33" s="128">
        <v>20.0</v>
      </c>
      <c r="D33" s="128">
        <v>5.0</v>
      </c>
      <c r="E33" s="128">
        <v>0.0</v>
      </c>
      <c r="F33" s="238"/>
      <c r="G33" s="238"/>
      <c r="H33" s="238"/>
      <c r="I33" s="238"/>
      <c r="J33" s="238"/>
      <c r="K33" s="238"/>
      <c r="L33" s="238"/>
      <c r="M33" s="238"/>
      <c r="N33" s="238"/>
      <c r="O33" s="238"/>
      <c r="P33" s="238"/>
      <c r="Q33" s="238"/>
      <c r="R33" s="238"/>
      <c r="S33" s="238"/>
      <c r="T33" s="238"/>
      <c r="U33" s="238"/>
      <c r="V33" s="238"/>
      <c r="W33" s="238"/>
      <c r="X33" s="238"/>
      <c r="Y33" s="238"/>
      <c r="Z33" s="238"/>
    </row>
    <row r="34" ht="15.75" customHeight="1">
      <c r="C34" s="128">
        <v>20.0</v>
      </c>
      <c r="D34" s="128">
        <v>5.0</v>
      </c>
      <c r="E34" s="128">
        <v>0.0</v>
      </c>
      <c r="F34" s="238"/>
      <c r="G34" s="238"/>
      <c r="H34" s="238"/>
      <c r="I34" s="238"/>
      <c r="J34" s="238"/>
      <c r="K34" s="238"/>
      <c r="L34" s="238"/>
      <c r="M34" s="238"/>
      <c r="N34" s="238"/>
      <c r="O34" s="238"/>
      <c r="P34" s="238"/>
      <c r="Q34" s="238"/>
      <c r="R34" s="238"/>
      <c r="S34" s="238"/>
      <c r="T34" s="238"/>
      <c r="U34" s="238"/>
      <c r="V34" s="238"/>
      <c r="W34" s="238"/>
      <c r="X34" s="238"/>
      <c r="Y34" s="238"/>
      <c r="Z34" s="238"/>
    </row>
    <row r="35" ht="15.75" customHeight="1">
      <c r="C35" s="128">
        <v>20.0</v>
      </c>
      <c r="D35" s="128">
        <v>5.0</v>
      </c>
      <c r="E35" s="128">
        <v>0.0</v>
      </c>
      <c r="F35" s="238"/>
      <c r="G35" s="238"/>
      <c r="H35" s="238"/>
      <c r="I35" s="238"/>
      <c r="J35" s="238"/>
      <c r="K35" s="238"/>
      <c r="L35" s="238"/>
      <c r="M35" s="238"/>
      <c r="N35" s="238"/>
      <c r="O35" s="238"/>
      <c r="P35" s="238"/>
      <c r="Q35" s="238"/>
      <c r="R35" s="238"/>
      <c r="S35" s="238"/>
      <c r="T35" s="238"/>
      <c r="U35" s="238"/>
      <c r="V35" s="238"/>
      <c r="W35" s="238"/>
      <c r="X35" s="238"/>
      <c r="Y35" s="238"/>
      <c r="Z35" s="238"/>
    </row>
    <row r="36" ht="15.75" customHeight="1">
      <c r="C36" s="128">
        <v>20.0</v>
      </c>
      <c r="D36" s="128">
        <v>5.0</v>
      </c>
      <c r="E36" s="128">
        <v>0.0</v>
      </c>
      <c r="F36" s="238"/>
      <c r="G36" s="238"/>
      <c r="H36" s="238"/>
      <c r="I36" s="238"/>
      <c r="J36" s="238"/>
      <c r="K36" s="238"/>
      <c r="L36" s="238"/>
      <c r="M36" s="238"/>
      <c r="N36" s="238"/>
      <c r="O36" s="238"/>
      <c r="P36" s="238"/>
      <c r="Q36" s="238"/>
      <c r="R36" s="238"/>
      <c r="S36" s="238"/>
      <c r="T36" s="238"/>
      <c r="U36" s="238"/>
      <c r="V36" s="238"/>
      <c r="W36" s="238"/>
      <c r="X36" s="238"/>
      <c r="Y36" s="238"/>
      <c r="Z36" s="238"/>
    </row>
    <row r="37" ht="15.75" customHeight="1">
      <c r="C37" s="128">
        <v>20.0</v>
      </c>
      <c r="D37" s="128">
        <v>5.0</v>
      </c>
      <c r="E37" s="128">
        <v>0.0</v>
      </c>
      <c r="F37" s="238"/>
      <c r="G37" s="238"/>
      <c r="H37" s="238"/>
      <c r="I37" s="238"/>
      <c r="J37" s="238"/>
      <c r="K37" s="238"/>
      <c r="L37" s="238"/>
      <c r="M37" s="238"/>
      <c r="N37" s="238"/>
      <c r="O37" s="238"/>
      <c r="P37" s="238"/>
      <c r="Q37" s="238"/>
      <c r="R37" s="238"/>
      <c r="S37" s="238"/>
      <c r="T37" s="238"/>
      <c r="U37" s="238"/>
      <c r="V37" s="238"/>
      <c r="W37" s="238"/>
      <c r="X37" s="238"/>
      <c r="Y37" s="238"/>
      <c r="Z37" s="238"/>
    </row>
    <row r="38" ht="15.75" customHeight="1">
      <c r="C38" s="128">
        <v>20.0</v>
      </c>
      <c r="D38" s="128">
        <v>5.0</v>
      </c>
      <c r="E38" s="128">
        <v>0.0</v>
      </c>
      <c r="F38" s="238"/>
      <c r="G38" s="238"/>
      <c r="H38" s="238"/>
      <c r="I38" s="238"/>
      <c r="J38" s="238"/>
      <c r="K38" s="238"/>
      <c r="L38" s="238"/>
      <c r="M38" s="238"/>
      <c r="N38" s="238"/>
      <c r="O38" s="238"/>
      <c r="P38" s="238"/>
      <c r="Q38" s="238"/>
      <c r="R38" s="238"/>
      <c r="S38" s="238"/>
      <c r="T38" s="238"/>
      <c r="U38" s="238"/>
      <c r="V38" s="238"/>
      <c r="W38" s="238"/>
      <c r="X38" s="238"/>
      <c r="Y38" s="238"/>
      <c r="Z38" s="238"/>
    </row>
    <row r="39" ht="15.75" customHeight="1">
      <c r="C39" s="128">
        <v>20.0</v>
      </c>
      <c r="D39" s="128">
        <v>5.0</v>
      </c>
      <c r="E39" s="128">
        <v>0.0</v>
      </c>
      <c r="F39" s="238"/>
      <c r="G39" s="238"/>
      <c r="H39" s="238"/>
      <c r="I39" s="238"/>
      <c r="J39" s="238"/>
      <c r="K39" s="238"/>
      <c r="L39" s="238"/>
      <c r="M39" s="238"/>
      <c r="N39" s="238"/>
      <c r="O39" s="238"/>
      <c r="P39" s="238"/>
      <c r="Q39" s="238"/>
      <c r="R39" s="238"/>
      <c r="S39" s="238"/>
      <c r="T39" s="238"/>
      <c r="U39" s="238"/>
      <c r="V39" s="238"/>
      <c r="W39" s="238"/>
      <c r="X39" s="238"/>
      <c r="Y39" s="238"/>
      <c r="Z39" s="238"/>
    </row>
    <row r="40" ht="15.75" customHeight="1">
      <c r="C40" s="128">
        <v>20.0</v>
      </c>
      <c r="D40" s="128">
        <v>5.0</v>
      </c>
      <c r="E40" s="128">
        <v>0.0</v>
      </c>
      <c r="F40" s="238"/>
      <c r="G40" s="238"/>
      <c r="H40" s="238"/>
      <c r="I40" s="238"/>
      <c r="J40" s="238"/>
      <c r="K40" s="238"/>
      <c r="L40" s="238"/>
      <c r="M40" s="238"/>
      <c r="N40" s="238"/>
      <c r="O40" s="238"/>
      <c r="P40" s="238"/>
      <c r="Q40" s="238"/>
      <c r="R40" s="238"/>
      <c r="S40" s="238"/>
      <c r="T40" s="238"/>
      <c r="U40" s="238"/>
      <c r="V40" s="238"/>
      <c r="W40" s="238"/>
      <c r="X40" s="238"/>
      <c r="Y40" s="238"/>
      <c r="Z40" s="238"/>
    </row>
    <row r="41" ht="15.75" customHeight="1">
      <c r="C41" s="128">
        <v>20.0</v>
      </c>
      <c r="D41" s="128">
        <v>5.0</v>
      </c>
      <c r="E41" s="128">
        <v>0.0</v>
      </c>
      <c r="F41" s="238"/>
      <c r="G41" s="238"/>
      <c r="H41" s="238"/>
      <c r="I41" s="238"/>
      <c r="J41" s="238"/>
      <c r="K41" s="238"/>
      <c r="L41" s="238"/>
      <c r="M41" s="238"/>
      <c r="N41" s="238"/>
      <c r="O41" s="238"/>
      <c r="P41" s="238"/>
      <c r="Q41" s="238"/>
      <c r="R41" s="238"/>
      <c r="S41" s="238"/>
      <c r="T41" s="238"/>
      <c r="U41" s="238"/>
      <c r="V41" s="238"/>
      <c r="W41" s="238"/>
      <c r="X41" s="238"/>
      <c r="Y41" s="238"/>
      <c r="Z41" s="238"/>
    </row>
    <row r="42" ht="15.75" customHeight="1">
      <c r="C42" s="128">
        <v>20.0</v>
      </c>
      <c r="D42" s="128">
        <v>5.0</v>
      </c>
      <c r="E42" s="128">
        <v>0.0</v>
      </c>
      <c r="F42" s="238"/>
      <c r="G42" s="238"/>
      <c r="H42" s="238"/>
      <c r="I42" s="238"/>
      <c r="J42" s="238"/>
      <c r="K42" s="238"/>
      <c r="L42" s="238"/>
      <c r="M42" s="238"/>
      <c r="N42" s="238"/>
      <c r="O42" s="238"/>
      <c r="P42" s="238"/>
      <c r="Q42" s="238"/>
      <c r="R42" s="238"/>
      <c r="S42" s="238"/>
      <c r="T42" s="238"/>
      <c r="U42" s="238"/>
      <c r="V42" s="238"/>
      <c r="W42" s="238"/>
      <c r="X42" s="238"/>
      <c r="Y42" s="238"/>
      <c r="Z42" s="238"/>
    </row>
    <row r="43" ht="15.75" customHeight="1">
      <c r="C43" s="128">
        <v>20.0</v>
      </c>
      <c r="D43" s="128">
        <v>5.0</v>
      </c>
      <c r="E43" s="128">
        <v>0.0</v>
      </c>
      <c r="F43" s="238"/>
      <c r="G43" s="238"/>
      <c r="H43" s="238"/>
      <c r="I43" s="238"/>
      <c r="J43" s="238"/>
      <c r="K43" s="238"/>
      <c r="L43" s="238"/>
      <c r="M43" s="238"/>
      <c r="N43" s="238"/>
      <c r="O43" s="238"/>
      <c r="P43" s="238"/>
      <c r="Q43" s="238"/>
      <c r="R43" s="238"/>
      <c r="S43" s="238"/>
      <c r="T43" s="238"/>
      <c r="U43" s="238"/>
      <c r="V43" s="238"/>
      <c r="W43" s="238"/>
      <c r="X43" s="238"/>
      <c r="Y43" s="238"/>
      <c r="Z43" s="238"/>
    </row>
    <row r="44" ht="15.75" customHeight="1">
      <c r="C44" s="128">
        <v>20.0</v>
      </c>
      <c r="D44" s="128">
        <v>5.0</v>
      </c>
      <c r="E44" s="128">
        <v>0.0</v>
      </c>
      <c r="F44" s="238"/>
      <c r="G44" s="238"/>
      <c r="H44" s="238"/>
      <c r="I44" s="238"/>
      <c r="J44" s="238"/>
      <c r="K44" s="238"/>
      <c r="L44" s="238"/>
      <c r="M44" s="238"/>
      <c r="N44" s="238"/>
      <c r="O44" s="238"/>
      <c r="P44" s="238"/>
      <c r="Q44" s="238"/>
      <c r="R44" s="238"/>
      <c r="S44" s="238"/>
      <c r="T44" s="238"/>
      <c r="U44" s="238"/>
      <c r="V44" s="238"/>
      <c r="W44" s="238"/>
      <c r="X44" s="238"/>
      <c r="Y44" s="238"/>
      <c r="Z44" s="238"/>
    </row>
    <row r="45" ht="15.75" customHeight="1">
      <c r="C45" s="128">
        <v>20.0</v>
      </c>
      <c r="D45" s="128">
        <v>5.0</v>
      </c>
      <c r="E45" s="128">
        <v>0.0</v>
      </c>
      <c r="F45" s="238"/>
      <c r="G45" s="238"/>
      <c r="H45" s="238"/>
      <c r="I45" s="238"/>
      <c r="J45" s="238"/>
      <c r="K45" s="238"/>
      <c r="L45" s="238"/>
      <c r="M45" s="238"/>
      <c r="N45" s="238"/>
      <c r="O45" s="238"/>
      <c r="P45" s="238"/>
      <c r="Q45" s="238"/>
      <c r="R45" s="238"/>
      <c r="S45" s="238"/>
      <c r="T45" s="238"/>
      <c r="U45" s="238"/>
      <c r="V45" s="238"/>
      <c r="W45" s="238"/>
      <c r="X45" s="238"/>
      <c r="Y45" s="238"/>
      <c r="Z45" s="238"/>
    </row>
    <row r="46" ht="15.75" customHeight="1">
      <c r="C46" s="128">
        <v>20.0</v>
      </c>
      <c r="D46" s="128">
        <v>5.0</v>
      </c>
      <c r="E46" s="128">
        <v>0.0</v>
      </c>
      <c r="F46" s="238"/>
      <c r="G46" s="238"/>
      <c r="H46" s="238"/>
      <c r="I46" s="238"/>
      <c r="J46" s="238"/>
      <c r="K46" s="238"/>
      <c r="L46" s="238"/>
      <c r="M46" s="238"/>
      <c r="N46" s="238"/>
      <c r="O46" s="238"/>
      <c r="P46" s="238"/>
      <c r="Q46" s="238"/>
      <c r="R46" s="238"/>
      <c r="S46" s="238"/>
      <c r="T46" s="238"/>
      <c r="U46" s="238"/>
      <c r="V46" s="238"/>
      <c r="W46" s="238"/>
      <c r="X46" s="238"/>
      <c r="Y46" s="238"/>
      <c r="Z46" s="238"/>
    </row>
    <row r="47" ht="15.75" customHeight="1">
      <c r="F47" s="238"/>
      <c r="G47" s="238"/>
      <c r="H47" s="238"/>
      <c r="I47" s="238"/>
      <c r="J47" s="238"/>
      <c r="K47" s="238"/>
      <c r="L47" s="238"/>
      <c r="M47" s="238"/>
      <c r="N47" s="238"/>
      <c r="O47" s="238"/>
      <c r="P47" s="238"/>
      <c r="Q47" s="238"/>
      <c r="R47" s="238"/>
      <c r="S47" s="238"/>
      <c r="T47" s="238"/>
      <c r="U47" s="238"/>
      <c r="V47" s="238"/>
      <c r="W47" s="238"/>
      <c r="X47" s="238"/>
      <c r="Y47" s="238"/>
      <c r="Z47" s="238"/>
    </row>
    <row r="48" ht="15.75" customHeight="1">
      <c r="F48" s="238"/>
      <c r="G48" s="238"/>
      <c r="H48" s="238"/>
      <c r="I48" s="238"/>
      <c r="J48" s="238"/>
      <c r="K48" s="238"/>
      <c r="L48" s="238"/>
      <c r="M48" s="238"/>
      <c r="N48" s="238"/>
      <c r="O48" s="238"/>
      <c r="P48" s="238"/>
      <c r="Q48" s="238"/>
      <c r="R48" s="238"/>
      <c r="S48" s="238"/>
      <c r="T48" s="238"/>
      <c r="U48" s="238"/>
      <c r="V48" s="238"/>
      <c r="W48" s="238"/>
      <c r="X48" s="238"/>
      <c r="Y48" s="238"/>
      <c r="Z48" s="238"/>
    </row>
    <row r="49" ht="15.75" customHeight="1">
      <c r="C49" s="235" t="s">
        <v>91</v>
      </c>
      <c r="D49" s="236" t="s">
        <v>92</v>
      </c>
      <c r="E49" s="237" t="s">
        <v>93</v>
      </c>
      <c r="F49" s="238"/>
      <c r="G49" s="238"/>
      <c r="H49" s="238"/>
      <c r="I49" s="238"/>
      <c r="J49" s="238"/>
      <c r="K49" s="238"/>
      <c r="L49" s="238"/>
      <c r="M49" s="238"/>
      <c r="N49" s="238"/>
      <c r="O49" s="238"/>
      <c r="P49" s="238"/>
      <c r="Q49" s="238"/>
      <c r="R49" s="238"/>
      <c r="S49" s="238"/>
      <c r="T49" s="238"/>
      <c r="U49" s="238"/>
      <c r="V49" s="238"/>
      <c r="W49" s="238"/>
      <c r="X49" s="238"/>
      <c r="Y49" s="238"/>
      <c r="Z49" s="238"/>
    </row>
    <row r="50" ht="15.75" customHeight="1">
      <c r="C50" s="128">
        <v>115.0</v>
      </c>
      <c r="D50" s="128">
        <v>100.0</v>
      </c>
      <c r="E50" s="128">
        <v>85.0</v>
      </c>
      <c r="F50" s="238"/>
      <c r="G50" s="238"/>
      <c r="H50" s="238"/>
      <c r="I50" s="238"/>
      <c r="J50" s="238"/>
      <c r="K50" s="238"/>
      <c r="L50" s="238"/>
      <c r="M50" s="238"/>
      <c r="N50" s="238"/>
      <c r="O50" s="238"/>
      <c r="P50" s="238"/>
      <c r="Q50" s="238"/>
      <c r="R50" s="238"/>
      <c r="S50" s="238"/>
      <c r="T50" s="238"/>
      <c r="U50" s="238"/>
      <c r="V50" s="238"/>
      <c r="W50" s="238"/>
      <c r="X50" s="238"/>
      <c r="Y50" s="238"/>
      <c r="Z50" s="238"/>
    </row>
    <row r="51" ht="15.75" customHeight="1">
      <c r="C51" s="128">
        <v>115.0</v>
      </c>
      <c r="D51" s="128">
        <v>100.0</v>
      </c>
      <c r="E51" s="128">
        <v>85.0</v>
      </c>
      <c r="F51" s="238"/>
      <c r="G51" s="238"/>
      <c r="H51" s="238"/>
      <c r="I51" s="238"/>
      <c r="J51" s="238"/>
      <c r="K51" s="238"/>
      <c r="L51" s="238"/>
      <c r="M51" s="238"/>
      <c r="N51" s="238"/>
      <c r="O51" s="238"/>
      <c r="P51" s="238"/>
      <c r="Q51" s="238"/>
      <c r="R51" s="238"/>
      <c r="S51" s="238"/>
      <c r="T51" s="238"/>
      <c r="U51" s="238"/>
      <c r="V51" s="238"/>
      <c r="W51" s="238"/>
      <c r="X51" s="238"/>
      <c r="Y51" s="238"/>
      <c r="Z51" s="238"/>
    </row>
    <row r="52" ht="15.75" customHeight="1">
      <c r="C52" s="128">
        <v>115.0</v>
      </c>
      <c r="D52" s="128">
        <v>100.0</v>
      </c>
      <c r="E52" s="128">
        <v>85.0</v>
      </c>
      <c r="F52" s="238"/>
      <c r="G52" s="238"/>
      <c r="H52" s="238"/>
      <c r="I52" s="238"/>
      <c r="J52" s="238"/>
      <c r="K52" s="238"/>
      <c r="L52" s="238"/>
      <c r="M52" s="238"/>
      <c r="N52" s="238"/>
      <c r="O52" s="238"/>
      <c r="P52" s="238"/>
      <c r="Q52" s="238"/>
      <c r="R52" s="238"/>
      <c r="S52" s="238"/>
      <c r="T52" s="238"/>
      <c r="U52" s="238"/>
      <c r="V52" s="238"/>
      <c r="W52" s="238"/>
      <c r="X52" s="238"/>
      <c r="Y52" s="238"/>
      <c r="Z52" s="238"/>
    </row>
    <row r="53" ht="15.75" customHeight="1">
      <c r="C53" s="128">
        <v>115.0</v>
      </c>
      <c r="D53" s="128">
        <v>100.0</v>
      </c>
      <c r="E53" s="128">
        <v>85.0</v>
      </c>
      <c r="F53" s="238"/>
      <c r="G53" s="238"/>
      <c r="H53" s="238"/>
      <c r="I53" s="238"/>
      <c r="J53" s="238"/>
      <c r="K53" s="238"/>
      <c r="L53" s="238"/>
      <c r="M53" s="238"/>
      <c r="N53" s="238"/>
      <c r="O53" s="238"/>
      <c r="P53" s="238"/>
      <c r="Q53" s="238"/>
      <c r="R53" s="238"/>
      <c r="S53" s="238"/>
      <c r="T53" s="238"/>
      <c r="U53" s="238"/>
      <c r="V53" s="238"/>
      <c r="W53" s="238"/>
      <c r="X53" s="238"/>
      <c r="Y53" s="238"/>
      <c r="Z53" s="238"/>
    </row>
    <row r="54" ht="15.75" customHeight="1">
      <c r="C54" s="128">
        <v>115.0</v>
      </c>
      <c r="D54" s="128">
        <v>100.0</v>
      </c>
      <c r="E54" s="128">
        <v>85.0</v>
      </c>
      <c r="F54" s="238"/>
      <c r="G54" s="238"/>
      <c r="H54" s="238"/>
      <c r="I54" s="238"/>
      <c r="J54" s="238"/>
      <c r="K54" s="238"/>
      <c r="L54" s="238"/>
      <c r="M54" s="238"/>
      <c r="N54" s="238"/>
      <c r="O54" s="238"/>
      <c r="P54" s="238"/>
      <c r="Q54" s="238"/>
      <c r="R54" s="238"/>
      <c r="S54" s="238"/>
      <c r="T54" s="238"/>
      <c r="U54" s="238"/>
      <c r="V54" s="238"/>
      <c r="W54" s="238"/>
      <c r="X54" s="238"/>
      <c r="Y54" s="238"/>
      <c r="Z54" s="238"/>
    </row>
    <row r="55" ht="15.75" customHeight="1">
      <c r="C55" s="128">
        <v>115.0</v>
      </c>
      <c r="D55" s="128">
        <v>100.0</v>
      </c>
      <c r="E55" s="128">
        <v>85.0</v>
      </c>
      <c r="F55" s="238"/>
      <c r="G55" s="238"/>
      <c r="H55" s="238"/>
      <c r="I55" s="238"/>
      <c r="J55" s="238"/>
      <c r="K55" s="238"/>
      <c r="L55" s="238"/>
      <c r="M55" s="238"/>
      <c r="N55" s="238"/>
      <c r="O55" s="238"/>
      <c r="P55" s="238"/>
      <c r="Q55" s="238"/>
      <c r="R55" s="238"/>
      <c r="S55" s="238"/>
      <c r="T55" s="238"/>
      <c r="U55" s="238"/>
      <c r="V55" s="238"/>
      <c r="W55" s="238"/>
      <c r="X55" s="238"/>
      <c r="Y55" s="238"/>
      <c r="Z55" s="238"/>
    </row>
    <row r="56" ht="15.75" customHeight="1">
      <c r="C56" s="128">
        <v>115.0</v>
      </c>
      <c r="D56" s="128">
        <v>100.0</v>
      </c>
      <c r="E56" s="128">
        <v>85.0</v>
      </c>
      <c r="F56" s="238"/>
      <c r="G56" s="238"/>
      <c r="H56" s="238"/>
      <c r="I56" s="238"/>
      <c r="J56" s="238"/>
      <c r="K56" s="238"/>
      <c r="L56" s="238"/>
      <c r="M56" s="238"/>
      <c r="N56" s="238"/>
      <c r="O56" s="238"/>
      <c r="P56" s="238"/>
      <c r="Q56" s="238"/>
      <c r="R56" s="238"/>
      <c r="S56" s="238"/>
      <c r="T56" s="238"/>
      <c r="U56" s="238"/>
      <c r="V56" s="238"/>
      <c r="W56" s="238"/>
      <c r="X56" s="238"/>
      <c r="Y56" s="238"/>
      <c r="Z56" s="238"/>
    </row>
    <row r="57" ht="15.75" customHeight="1">
      <c r="C57" s="128">
        <v>115.0</v>
      </c>
      <c r="D57" s="128">
        <v>100.0</v>
      </c>
      <c r="E57" s="128">
        <v>85.0</v>
      </c>
      <c r="F57" s="238"/>
      <c r="G57" s="238"/>
      <c r="H57" s="238"/>
      <c r="I57" s="238"/>
      <c r="J57" s="238"/>
      <c r="K57" s="238"/>
      <c r="L57" s="238"/>
      <c r="M57" s="238"/>
      <c r="N57" s="238"/>
      <c r="O57" s="238"/>
      <c r="P57" s="238"/>
      <c r="Q57" s="238"/>
      <c r="R57" s="238"/>
      <c r="S57" s="238"/>
      <c r="T57" s="238"/>
      <c r="U57" s="238"/>
      <c r="V57" s="238"/>
      <c r="W57" s="238"/>
      <c r="X57" s="238"/>
      <c r="Y57" s="238"/>
      <c r="Z57" s="238"/>
    </row>
    <row r="58" ht="15.75" customHeight="1">
      <c r="C58" s="128">
        <v>115.0</v>
      </c>
      <c r="D58" s="128">
        <v>100.0</v>
      </c>
      <c r="E58" s="128">
        <v>85.0</v>
      </c>
      <c r="F58" s="238"/>
      <c r="G58" s="238"/>
      <c r="H58" s="238"/>
      <c r="I58" s="238"/>
      <c r="J58" s="238"/>
      <c r="K58" s="238"/>
      <c r="L58" s="238"/>
      <c r="M58" s="238"/>
      <c r="N58" s="238"/>
      <c r="O58" s="238"/>
      <c r="P58" s="238"/>
      <c r="Q58" s="238"/>
      <c r="R58" s="238"/>
      <c r="S58" s="238"/>
      <c r="T58" s="238"/>
      <c r="U58" s="238"/>
      <c r="V58" s="238"/>
      <c r="W58" s="238"/>
      <c r="X58" s="238"/>
      <c r="Y58" s="238"/>
      <c r="Z58" s="238"/>
    </row>
    <row r="59" ht="15.75" customHeight="1">
      <c r="C59" s="128">
        <v>115.0</v>
      </c>
      <c r="D59" s="128">
        <v>100.0</v>
      </c>
      <c r="E59" s="128">
        <v>85.0</v>
      </c>
      <c r="F59" s="238"/>
      <c r="G59" s="238"/>
      <c r="H59" s="238"/>
      <c r="I59" s="238"/>
      <c r="J59" s="238"/>
      <c r="K59" s="238"/>
      <c r="L59" s="238"/>
      <c r="M59" s="238"/>
      <c r="N59" s="238"/>
      <c r="O59" s="238"/>
      <c r="P59" s="238"/>
      <c r="Q59" s="238"/>
      <c r="R59" s="238"/>
      <c r="S59" s="238"/>
      <c r="T59" s="238"/>
      <c r="U59" s="238"/>
      <c r="V59" s="238"/>
      <c r="W59" s="238"/>
      <c r="X59" s="238"/>
      <c r="Y59" s="238"/>
      <c r="Z59" s="238"/>
    </row>
    <row r="60" ht="15.75" customHeight="1">
      <c r="C60" s="128">
        <v>115.0</v>
      </c>
      <c r="D60" s="128">
        <v>100.0</v>
      </c>
      <c r="E60" s="128">
        <v>85.0</v>
      </c>
      <c r="F60" s="238"/>
      <c r="G60" s="238"/>
      <c r="H60" s="238"/>
      <c r="I60" s="238"/>
      <c r="J60" s="238"/>
      <c r="K60" s="238"/>
      <c r="L60" s="238"/>
      <c r="M60" s="238"/>
      <c r="N60" s="238"/>
      <c r="O60" s="238"/>
      <c r="P60" s="238"/>
      <c r="Q60" s="238"/>
      <c r="R60" s="238"/>
      <c r="S60" s="238"/>
      <c r="T60" s="238"/>
      <c r="U60" s="238"/>
      <c r="V60" s="238"/>
      <c r="W60" s="238"/>
      <c r="X60" s="238"/>
      <c r="Y60" s="238"/>
      <c r="Z60" s="238"/>
    </row>
    <row r="61" ht="15.75" customHeight="1">
      <c r="C61" s="128">
        <v>115.0</v>
      </c>
      <c r="D61" s="128">
        <v>100.0</v>
      </c>
      <c r="E61" s="128">
        <v>85.0</v>
      </c>
      <c r="F61" s="238"/>
      <c r="G61" s="238"/>
      <c r="H61" s="238"/>
      <c r="I61" s="238"/>
      <c r="J61" s="238"/>
      <c r="K61" s="238"/>
      <c r="L61" s="238"/>
      <c r="M61" s="238"/>
      <c r="N61" s="238"/>
      <c r="O61" s="238"/>
      <c r="P61" s="238"/>
      <c r="Q61" s="238"/>
      <c r="R61" s="238"/>
      <c r="S61" s="238"/>
      <c r="T61" s="238"/>
      <c r="U61" s="238"/>
      <c r="V61" s="238"/>
      <c r="W61" s="238"/>
      <c r="X61" s="238"/>
      <c r="Y61" s="238"/>
      <c r="Z61" s="238"/>
    </row>
    <row r="62" ht="15.75" customHeight="1">
      <c r="C62" s="128">
        <v>115.0</v>
      </c>
      <c r="D62" s="128">
        <v>100.0</v>
      </c>
      <c r="E62" s="128">
        <v>85.0</v>
      </c>
      <c r="F62" s="238"/>
      <c r="G62" s="238"/>
      <c r="H62" s="238"/>
      <c r="I62" s="238"/>
      <c r="J62" s="238"/>
      <c r="K62" s="238"/>
      <c r="L62" s="238"/>
      <c r="M62" s="238"/>
      <c r="N62" s="238"/>
      <c r="O62" s="238"/>
      <c r="P62" s="238"/>
      <c r="Q62" s="238"/>
      <c r="R62" s="238"/>
      <c r="S62" s="238"/>
      <c r="T62" s="238"/>
      <c r="U62" s="238"/>
      <c r="V62" s="238"/>
      <c r="W62" s="238"/>
      <c r="X62" s="238"/>
      <c r="Y62" s="238"/>
      <c r="Z62" s="238"/>
    </row>
    <row r="63" ht="15.75" customHeight="1">
      <c r="C63" s="128">
        <v>115.0</v>
      </c>
      <c r="D63" s="128">
        <v>100.0</v>
      </c>
      <c r="E63" s="128">
        <v>85.0</v>
      </c>
      <c r="F63" s="238"/>
      <c r="G63" s="238"/>
      <c r="H63" s="238"/>
      <c r="I63" s="238"/>
      <c r="J63" s="238"/>
      <c r="K63" s="238"/>
      <c r="L63" s="238"/>
      <c r="M63" s="238"/>
      <c r="N63" s="238"/>
      <c r="O63" s="238"/>
      <c r="P63" s="238"/>
      <c r="Q63" s="238"/>
      <c r="R63" s="238"/>
      <c r="S63" s="238"/>
      <c r="T63" s="238"/>
      <c r="U63" s="238"/>
      <c r="V63" s="238"/>
      <c r="W63" s="238"/>
      <c r="X63" s="238"/>
      <c r="Y63" s="238"/>
      <c r="Z63" s="238"/>
    </row>
    <row r="64" ht="15.75" customHeight="1">
      <c r="C64" s="128">
        <v>115.0</v>
      </c>
      <c r="D64" s="128">
        <v>100.0</v>
      </c>
      <c r="E64" s="128">
        <v>85.0</v>
      </c>
      <c r="F64" s="238"/>
      <c r="G64" s="238"/>
      <c r="H64" s="238"/>
      <c r="I64" s="238"/>
      <c r="J64" s="238"/>
      <c r="K64" s="238"/>
      <c r="L64" s="238"/>
      <c r="M64" s="238"/>
      <c r="N64" s="238"/>
      <c r="O64" s="238"/>
      <c r="P64" s="238"/>
      <c r="Q64" s="238"/>
      <c r="R64" s="238"/>
      <c r="S64" s="238"/>
      <c r="T64" s="238"/>
      <c r="U64" s="238"/>
      <c r="V64" s="238"/>
      <c r="W64" s="238"/>
      <c r="X64" s="238"/>
      <c r="Y64" s="238"/>
      <c r="Z64" s="238"/>
    </row>
    <row r="65" ht="15.75" customHeight="1">
      <c r="C65" s="128">
        <v>115.0</v>
      </c>
      <c r="D65" s="128">
        <v>100.0</v>
      </c>
      <c r="E65" s="128">
        <v>85.0</v>
      </c>
      <c r="F65" s="238"/>
      <c r="G65" s="238"/>
      <c r="H65" s="238"/>
      <c r="I65" s="238"/>
      <c r="J65" s="238"/>
      <c r="K65" s="238"/>
      <c r="L65" s="238"/>
      <c r="M65" s="238"/>
      <c r="N65" s="238"/>
      <c r="O65" s="238"/>
      <c r="P65" s="238"/>
      <c r="Q65" s="238"/>
      <c r="R65" s="238"/>
      <c r="S65" s="238"/>
      <c r="T65" s="238"/>
      <c r="U65" s="238"/>
      <c r="V65" s="238"/>
      <c r="W65" s="238"/>
      <c r="X65" s="238"/>
      <c r="Y65" s="238"/>
      <c r="Z65" s="238"/>
    </row>
    <row r="66" ht="15.75" customHeight="1">
      <c r="C66" s="128">
        <v>115.0</v>
      </c>
      <c r="D66" s="128">
        <v>100.0</v>
      </c>
      <c r="E66" s="128">
        <v>85.0</v>
      </c>
      <c r="F66" s="238"/>
      <c r="G66" s="238"/>
      <c r="H66" s="238"/>
      <c r="I66" s="238"/>
      <c r="J66" s="238"/>
      <c r="K66" s="238"/>
      <c r="L66" s="238"/>
      <c r="M66" s="238"/>
      <c r="N66" s="238"/>
      <c r="O66" s="238"/>
      <c r="P66" s="238"/>
      <c r="Q66" s="238"/>
      <c r="R66" s="238"/>
      <c r="S66" s="238"/>
      <c r="T66" s="238"/>
      <c r="U66" s="238"/>
      <c r="V66" s="238"/>
      <c r="W66" s="238"/>
      <c r="X66" s="238"/>
      <c r="Y66" s="238"/>
      <c r="Z66" s="238"/>
    </row>
    <row r="67" ht="15.75" customHeight="1">
      <c r="C67" s="128">
        <v>115.0</v>
      </c>
      <c r="D67" s="128">
        <v>100.0</v>
      </c>
      <c r="E67" s="128">
        <v>85.0</v>
      </c>
      <c r="F67" s="238"/>
      <c r="G67" s="238"/>
      <c r="H67" s="238"/>
      <c r="I67" s="238"/>
      <c r="J67" s="238"/>
      <c r="K67" s="238"/>
      <c r="L67" s="238"/>
      <c r="M67" s="238"/>
      <c r="N67" s="238"/>
      <c r="O67" s="238"/>
      <c r="P67" s="238"/>
      <c r="Q67" s="238"/>
      <c r="R67" s="238"/>
      <c r="S67" s="238"/>
      <c r="T67" s="238"/>
      <c r="U67" s="238"/>
      <c r="V67" s="238"/>
      <c r="W67" s="238"/>
      <c r="X67" s="238"/>
      <c r="Y67" s="238"/>
      <c r="Z67" s="238"/>
    </row>
    <row r="68" ht="15.75" customHeight="1">
      <c r="C68" s="238"/>
      <c r="D68" s="238"/>
      <c r="E68" s="238"/>
      <c r="F68" s="238"/>
      <c r="G68" s="238"/>
      <c r="H68" s="238"/>
      <c r="I68" s="238"/>
      <c r="J68" s="238"/>
      <c r="K68" s="238"/>
      <c r="L68" s="238"/>
      <c r="M68" s="238"/>
      <c r="N68" s="238"/>
      <c r="O68" s="238"/>
      <c r="P68" s="238"/>
      <c r="Q68" s="238"/>
      <c r="R68" s="238"/>
      <c r="S68" s="238"/>
      <c r="T68" s="238"/>
      <c r="U68" s="238"/>
      <c r="V68" s="238"/>
      <c r="W68" s="238"/>
      <c r="X68" s="238"/>
      <c r="Y68" s="238"/>
      <c r="Z68" s="238"/>
    </row>
    <row r="69" ht="15.75" customHeight="1">
      <c r="A69" s="238"/>
      <c r="B69" s="238"/>
      <c r="C69" s="238"/>
      <c r="D69" s="238"/>
      <c r="E69" s="238"/>
      <c r="F69" s="238"/>
      <c r="G69" s="238"/>
      <c r="H69" s="238"/>
      <c r="I69" s="238"/>
      <c r="J69" s="238"/>
      <c r="K69" s="238"/>
      <c r="L69" s="238"/>
      <c r="M69" s="238"/>
      <c r="N69" s="238"/>
      <c r="O69" s="238"/>
      <c r="P69" s="238"/>
      <c r="Q69" s="238"/>
      <c r="R69" s="238"/>
      <c r="S69" s="238"/>
      <c r="T69" s="238"/>
      <c r="U69" s="238"/>
      <c r="V69" s="238"/>
      <c r="W69" s="238"/>
      <c r="X69" s="238"/>
      <c r="Y69" s="238"/>
      <c r="Z69" s="238"/>
    </row>
    <row r="70" ht="15.75" customHeight="1">
      <c r="A70" s="238"/>
      <c r="B70" s="238"/>
      <c r="C70" s="238"/>
      <c r="D70" s="238"/>
      <c r="E70" s="238"/>
      <c r="F70" s="238"/>
      <c r="G70" s="238"/>
      <c r="H70" s="238"/>
      <c r="I70" s="238"/>
      <c r="J70" s="238"/>
      <c r="K70" s="238"/>
      <c r="L70" s="238"/>
      <c r="M70" s="238"/>
      <c r="N70" s="238"/>
      <c r="O70" s="238"/>
      <c r="P70" s="238"/>
      <c r="Q70" s="238"/>
      <c r="R70" s="238"/>
      <c r="S70" s="238"/>
      <c r="T70" s="238"/>
      <c r="U70" s="238"/>
      <c r="V70" s="238"/>
      <c r="W70" s="238"/>
      <c r="X70" s="238"/>
      <c r="Y70" s="238"/>
      <c r="Z70" s="238"/>
    </row>
    <row r="71" ht="15.75" customHeight="1">
      <c r="A71" s="238"/>
      <c r="B71" s="238"/>
      <c r="C71" s="238"/>
      <c r="D71" s="238"/>
      <c r="E71" s="238"/>
      <c r="F71" s="238"/>
      <c r="G71" s="238"/>
      <c r="H71" s="238"/>
      <c r="I71" s="238"/>
      <c r="J71" s="238"/>
      <c r="K71" s="238"/>
      <c r="L71" s="238"/>
      <c r="M71" s="238"/>
      <c r="N71" s="238"/>
      <c r="O71" s="238"/>
      <c r="P71" s="238"/>
      <c r="Q71" s="238"/>
      <c r="R71" s="238"/>
      <c r="S71" s="238"/>
      <c r="T71" s="238"/>
      <c r="U71" s="238"/>
      <c r="V71" s="238"/>
      <c r="W71" s="238"/>
      <c r="X71" s="238"/>
      <c r="Y71" s="238"/>
      <c r="Z71" s="238"/>
    </row>
    <row r="72" ht="15.75" customHeight="1">
      <c r="C72" s="235" t="s">
        <v>91</v>
      </c>
      <c r="D72" s="236" t="s">
        <v>92</v>
      </c>
      <c r="E72" s="237" t="s">
        <v>93</v>
      </c>
      <c r="F72" s="238"/>
      <c r="G72" s="238"/>
      <c r="H72" s="238"/>
      <c r="I72" s="238"/>
      <c r="J72" s="238"/>
      <c r="K72" s="238"/>
      <c r="L72" s="238"/>
      <c r="M72" s="238"/>
      <c r="N72" s="238"/>
      <c r="O72" s="238"/>
      <c r="P72" s="238"/>
      <c r="Q72" s="238"/>
      <c r="R72" s="238"/>
      <c r="S72" s="238"/>
      <c r="T72" s="238"/>
      <c r="U72" s="238"/>
      <c r="V72" s="238"/>
      <c r="W72" s="238"/>
    </row>
    <row r="73" ht="15.75" customHeight="1">
      <c r="C73" s="128">
        <v>20.0</v>
      </c>
      <c r="D73" s="128">
        <v>10.0</v>
      </c>
      <c r="E73" s="128">
        <v>5.0</v>
      </c>
      <c r="F73" s="238"/>
      <c r="G73" s="238"/>
      <c r="H73" s="238"/>
      <c r="I73" s="238"/>
      <c r="J73" s="238"/>
      <c r="K73" s="238"/>
      <c r="L73" s="238"/>
      <c r="M73" s="238"/>
      <c r="N73" s="238"/>
      <c r="O73" s="238"/>
      <c r="P73" s="238"/>
      <c r="Q73" s="238"/>
      <c r="R73" s="238"/>
      <c r="S73" s="238"/>
      <c r="T73" s="238"/>
      <c r="U73" s="238"/>
      <c r="V73" s="238"/>
      <c r="W73" s="238"/>
    </row>
    <row r="74" ht="15.75" customHeight="1">
      <c r="C74" s="128">
        <v>20.0</v>
      </c>
      <c r="D74" s="128">
        <v>10.0</v>
      </c>
      <c r="E74" s="128">
        <v>5.0</v>
      </c>
      <c r="F74" s="238"/>
      <c r="G74" s="238"/>
      <c r="H74" s="238"/>
      <c r="I74" s="238"/>
      <c r="J74" s="238"/>
      <c r="K74" s="238"/>
      <c r="L74" s="238"/>
      <c r="M74" s="238"/>
      <c r="N74" s="238"/>
      <c r="O74" s="238"/>
      <c r="P74" s="238"/>
      <c r="Q74" s="238"/>
      <c r="R74" s="238"/>
      <c r="S74" s="238"/>
      <c r="T74" s="238"/>
      <c r="U74" s="238"/>
      <c r="V74" s="238"/>
      <c r="W74" s="238"/>
    </row>
    <row r="75" ht="15.75" customHeight="1">
      <c r="C75" s="128">
        <v>20.0</v>
      </c>
      <c r="D75" s="128">
        <v>10.0</v>
      </c>
      <c r="E75" s="128">
        <v>5.0</v>
      </c>
      <c r="F75" s="238"/>
      <c r="G75" s="238"/>
      <c r="H75" s="238"/>
      <c r="I75" s="238"/>
      <c r="J75" s="238"/>
      <c r="K75" s="238"/>
      <c r="L75" s="238"/>
      <c r="M75" s="238"/>
      <c r="N75" s="238"/>
      <c r="O75" s="238"/>
      <c r="P75" s="238"/>
      <c r="Q75" s="238"/>
      <c r="R75" s="238"/>
      <c r="S75" s="238"/>
      <c r="T75" s="238"/>
      <c r="U75" s="238"/>
      <c r="V75" s="238"/>
      <c r="W75" s="238"/>
    </row>
    <row r="76" ht="15.75" customHeight="1">
      <c r="C76" s="128">
        <v>20.0</v>
      </c>
      <c r="D76" s="128">
        <v>10.0</v>
      </c>
      <c r="E76" s="128">
        <v>5.0</v>
      </c>
      <c r="F76" s="238"/>
      <c r="G76" s="238"/>
      <c r="H76" s="238"/>
      <c r="I76" s="238"/>
      <c r="J76" s="238"/>
      <c r="K76" s="238"/>
      <c r="L76" s="238"/>
      <c r="M76" s="238"/>
      <c r="N76" s="238"/>
      <c r="O76" s="238"/>
      <c r="P76" s="238"/>
      <c r="Q76" s="238"/>
      <c r="R76" s="238"/>
      <c r="S76" s="238"/>
      <c r="T76" s="238"/>
      <c r="U76" s="238"/>
      <c r="V76" s="238"/>
      <c r="W76" s="238"/>
    </row>
    <row r="77" ht="15.75" customHeight="1">
      <c r="C77" s="128">
        <v>20.0</v>
      </c>
      <c r="D77" s="128">
        <v>10.0</v>
      </c>
      <c r="E77" s="128">
        <v>5.0</v>
      </c>
      <c r="F77" s="238"/>
      <c r="G77" s="238"/>
      <c r="H77" s="238"/>
      <c r="I77" s="238"/>
      <c r="J77" s="238"/>
      <c r="K77" s="238"/>
      <c r="L77" s="238"/>
      <c r="M77" s="238"/>
      <c r="N77" s="238"/>
      <c r="O77" s="238"/>
      <c r="P77" s="238"/>
      <c r="Q77" s="238"/>
      <c r="R77" s="238"/>
      <c r="S77" s="238"/>
      <c r="T77" s="238"/>
      <c r="U77" s="238"/>
      <c r="V77" s="238"/>
      <c r="W77" s="238"/>
    </row>
    <row r="78" ht="15.75" customHeight="1">
      <c r="C78" s="128">
        <v>20.0</v>
      </c>
      <c r="D78" s="128">
        <v>10.0</v>
      </c>
      <c r="E78" s="128">
        <v>5.0</v>
      </c>
      <c r="F78" s="238"/>
      <c r="G78" s="238"/>
      <c r="H78" s="238"/>
      <c r="I78" s="238"/>
      <c r="J78" s="238"/>
      <c r="K78" s="238"/>
      <c r="L78" s="238"/>
      <c r="M78" s="238"/>
      <c r="N78" s="238"/>
      <c r="O78" s="238"/>
      <c r="P78" s="238"/>
      <c r="Q78" s="238"/>
      <c r="R78" s="238"/>
      <c r="S78" s="238"/>
      <c r="T78" s="238"/>
      <c r="U78" s="238"/>
      <c r="V78" s="238"/>
      <c r="W78" s="238"/>
    </row>
    <row r="79" ht="15.75" customHeight="1">
      <c r="C79" s="128">
        <v>20.0</v>
      </c>
      <c r="D79" s="128">
        <v>10.0</v>
      </c>
      <c r="E79" s="128">
        <v>5.0</v>
      </c>
      <c r="F79" s="238"/>
      <c r="G79" s="238"/>
      <c r="H79" s="238"/>
      <c r="I79" s="238"/>
      <c r="J79" s="238"/>
      <c r="K79" s="238"/>
      <c r="L79" s="238"/>
      <c r="M79" s="238"/>
      <c r="N79" s="238"/>
      <c r="O79" s="238"/>
      <c r="P79" s="238"/>
      <c r="Q79" s="238"/>
      <c r="R79" s="238"/>
      <c r="S79" s="238"/>
      <c r="T79" s="238"/>
      <c r="U79" s="238"/>
      <c r="V79" s="238"/>
      <c r="W79" s="238"/>
    </row>
    <row r="80" ht="15.75" customHeight="1">
      <c r="C80" s="128">
        <v>20.0</v>
      </c>
      <c r="D80" s="128">
        <v>10.0</v>
      </c>
      <c r="E80" s="128">
        <v>5.0</v>
      </c>
      <c r="F80" s="238"/>
      <c r="G80" s="238"/>
      <c r="H80" s="238"/>
      <c r="I80" s="238"/>
      <c r="J80" s="238"/>
      <c r="K80" s="238"/>
      <c r="L80" s="238"/>
      <c r="M80" s="238"/>
      <c r="N80" s="238"/>
      <c r="O80" s="238"/>
      <c r="P80" s="238"/>
      <c r="Q80" s="238"/>
      <c r="R80" s="238"/>
      <c r="S80" s="238"/>
      <c r="T80" s="238"/>
      <c r="U80" s="238"/>
      <c r="V80" s="238"/>
      <c r="W80" s="238"/>
    </row>
    <row r="81" ht="15.75" customHeight="1">
      <c r="C81" s="128">
        <v>20.0</v>
      </c>
      <c r="D81" s="128">
        <v>10.0</v>
      </c>
      <c r="E81" s="128">
        <v>5.0</v>
      </c>
      <c r="F81" s="238"/>
      <c r="G81" s="238"/>
      <c r="H81" s="238"/>
      <c r="I81" s="238"/>
      <c r="J81" s="238"/>
      <c r="K81" s="238"/>
      <c r="L81" s="238"/>
      <c r="M81" s="238"/>
      <c r="N81" s="238"/>
      <c r="O81" s="238"/>
      <c r="P81" s="238"/>
      <c r="Q81" s="238"/>
      <c r="R81" s="238"/>
      <c r="S81" s="238"/>
      <c r="T81" s="238"/>
      <c r="U81" s="238"/>
      <c r="V81" s="238"/>
      <c r="W81" s="238"/>
    </row>
    <row r="82" ht="15.75" customHeight="1">
      <c r="C82" s="128">
        <v>20.0</v>
      </c>
      <c r="D82" s="128">
        <v>10.0</v>
      </c>
      <c r="E82" s="128">
        <v>5.0</v>
      </c>
      <c r="F82" s="238"/>
      <c r="G82" s="238"/>
      <c r="H82" s="238"/>
      <c r="I82" s="238"/>
      <c r="J82" s="238"/>
      <c r="K82" s="238"/>
      <c r="L82" s="238"/>
      <c r="M82" s="238"/>
      <c r="N82" s="238"/>
      <c r="O82" s="238"/>
      <c r="P82" s="238"/>
      <c r="Q82" s="238"/>
      <c r="R82" s="238"/>
      <c r="S82" s="238"/>
      <c r="T82" s="238"/>
      <c r="U82" s="238"/>
      <c r="V82" s="238"/>
      <c r="W82" s="238"/>
    </row>
    <row r="83" ht="15.75" customHeight="1">
      <c r="C83" s="128">
        <v>20.0</v>
      </c>
      <c r="D83" s="128">
        <v>10.0</v>
      </c>
      <c r="E83" s="128">
        <v>5.0</v>
      </c>
      <c r="F83" s="238"/>
      <c r="G83" s="238"/>
      <c r="H83" s="238"/>
      <c r="I83" s="238"/>
      <c r="J83" s="238"/>
      <c r="K83" s="238"/>
      <c r="L83" s="238"/>
      <c r="M83" s="238"/>
      <c r="N83" s="238"/>
      <c r="O83" s="238"/>
      <c r="P83" s="238"/>
      <c r="Q83" s="238"/>
      <c r="R83" s="238"/>
      <c r="S83" s="238"/>
      <c r="T83" s="238"/>
      <c r="U83" s="238"/>
      <c r="V83" s="238"/>
      <c r="W83" s="238"/>
    </row>
    <row r="84" ht="15.75" customHeight="1">
      <c r="C84" s="128">
        <v>20.0</v>
      </c>
      <c r="D84" s="128">
        <v>10.0</v>
      </c>
      <c r="E84" s="128">
        <v>5.0</v>
      </c>
      <c r="F84" s="238"/>
      <c r="G84" s="238"/>
      <c r="H84" s="238"/>
      <c r="I84" s="238"/>
      <c r="J84" s="238"/>
      <c r="K84" s="238"/>
      <c r="L84" s="238"/>
      <c r="M84" s="238"/>
      <c r="N84" s="238"/>
      <c r="O84" s="238"/>
      <c r="P84" s="238"/>
      <c r="Q84" s="238"/>
      <c r="R84" s="238"/>
      <c r="S84" s="238"/>
      <c r="T84" s="238"/>
      <c r="U84" s="238"/>
      <c r="V84" s="238"/>
      <c r="W84" s="238"/>
    </row>
    <row r="85" ht="15.75" customHeight="1">
      <c r="C85" s="128">
        <v>20.0</v>
      </c>
      <c r="D85" s="128">
        <v>10.0</v>
      </c>
      <c r="E85" s="128">
        <v>5.0</v>
      </c>
      <c r="F85" s="238"/>
      <c r="G85" s="238"/>
      <c r="H85" s="238"/>
      <c r="I85" s="238"/>
      <c r="J85" s="238"/>
      <c r="K85" s="238"/>
      <c r="L85" s="238"/>
      <c r="M85" s="238"/>
      <c r="N85" s="238"/>
      <c r="O85" s="238"/>
      <c r="P85" s="238"/>
      <c r="Q85" s="238"/>
      <c r="R85" s="238"/>
      <c r="S85" s="238"/>
      <c r="T85" s="238"/>
      <c r="U85" s="238"/>
      <c r="V85" s="238"/>
      <c r="W85" s="238"/>
    </row>
    <row r="86" ht="15.75" customHeight="1">
      <c r="C86" s="128">
        <v>20.0</v>
      </c>
      <c r="D86" s="128">
        <v>10.0</v>
      </c>
      <c r="E86" s="128">
        <v>5.0</v>
      </c>
      <c r="F86" s="238"/>
      <c r="G86" s="238"/>
      <c r="H86" s="238"/>
      <c r="I86" s="238"/>
      <c r="J86" s="238"/>
      <c r="K86" s="238"/>
      <c r="L86" s="238"/>
      <c r="M86" s="238"/>
      <c r="N86" s="238"/>
      <c r="O86" s="238"/>
      <c r="P86" s="238"/>
      <c r="Q86" s="238"/>
      <c r="R86" s="238"/>
      <c r="S86" s="238"/>
      <c r="T86" s="238"/>
      <c r="U86" s="238"/>
      <c r="V86" s="238"/>
      <c r="W86" s="238"/>
    </row>
    <row r="87" ht="15.75" customHeight="1">
      <c r="C87" s="128">
        <v>20.0</v>
      </c>
      <c r="D87" s="128">
        <v>10.0</v>
      </c>
      <c r="E87" s="128">
        <v>5.0</v>
      </c>
      <c r="F87" s="238"/>
      <c r="G87" s="238"/>
      <c r="H87" s="238"/>
      <c r="I87" s="238"/>
      <c r="J87" s="238"/>
      <c r="K87" s="238"/>
      <c r="L87" s="238"/>
      <c r="M87" s="238"/>
      <c r="N87" s="238"/>
      <c r="O87" s="238"/>
      <c r="P87" s="238"/>
      <c r="Q87" s="238"/>
      <c r="R87" s="238"/>
      <c r="S87" s="238"/>
      <c r="T87" s="238"/>
      <c r="U87" s="238"/>
      <c r="V87" s="238"/>
      <c r="W87" s="238"/>
    </row>
    <row r="88" ht="15.75" customHeight="1">
      <c r="C88" s="128">
        <v>20.0</v>
      </c>
      <c r="D88" s="128">
        <v>10.0</v>
      </c>
      <c r="E88" s="128">
        <v>5.0</v>
      </c>
      <c r="F88" s="238"/>
      <c r="G88" s="238"/>
      <c r="H88" s="238"/>
      <c r="I88" s="238"/>
      <c r="J88" s="238"/>
      <c r="K88" s="238"/>
      <c r="L88" s="238"/>
      <c r="M88" s="238"/>
      <c r="N88" s="238"/>
      <c r="O88" s="238"/>
      <c r="P88" s="238"/>
      <c r="Q88" s="238"/>
      <c r="R88" s="238"/>
      <c r="S88" s="238"/>
      <c r="T88" s="238"/>
      <c r="U88" s="238"/>
      <c r="V88" s="238"/>
      <c r="W88" s="238"/>
    </row>
    <row r="89" ht="15.75" customHeight="1">
      <c r="C89" s="128">
        <v>20.0</v>
      </c>
      <c r="D89" s="128">
        <v>10.0</v>
      </c>
      <c r="E89" s="128">
        <v>5.0</v>
      </c>
      <c r="F89" s="238"/>
      <c r="G89" s="238"/>
      <c r="H89" s="238"/>
      <c r="I89" s="238"/>
      <c r="J89" s="238"/>
      <c r="K89" s="238"/>
      <c r="L89" s="238"/>
      <c r="M89" s="238"/>
      <c r="N89" s="238"/>
      <c r="O89" s="238"/>
      <c r="P89" s="238"/>
      <c r="Q89" s="238"/>
      <c r="R89" s="238"/>
      <c r="S89" s="238"/>
      <c r="T89" s="238"/>
      <c r="U89" s="238"/>
      <c r="V89" s="238"/>
      <c r="W89" s="238"/>
    </row>
    <row r="90" ht="15.75" customHeight="1">
      <c r="C90" s="128">
        <v>20.0</v>
      </c>
      <c r="D90" s="128">
        <v>10.0</v>
      </c>
      <c r="E90" s="128">
        <v>5.0</v>
      </c>
      <c r="F90" s="238"/>
      <c r="G90" s="238"/>
      <c r="H90" s="238"/>
      <c r="I90" s="238"/>
      <c r="J90" s="238"/>
      <c r="K90" s="238"/>
      <c r="L90" s="238"/>
      <c r="M90" s="238"/>
      <c r="N90" s="238"/>
      <c r="O90" s="238"/>
      <c r="P90" s="238"/>
      <c r="Q90" s="238"/>
      <c r="R90" s="238"/>
      <c r="S90" s="238"/>
      <c r="T90" s="238"/>
      <c r="U90" s="238"/>
      <c r="V90" s="238"/>
      <c r="W90" s="238"/>
      <c r="X90" s="238"/>
      <c r="Y90" s="238"/>
      <c r="Z90" s="238"/>
    </row>
    <row r="91" ht="15.75" customHeight="1">
      <c r="C91" s="238"/>
      <c r="D91" s="238"/>
      <c r="E91" s="238"/>
      <c r="F91" s="238"/>
      <c r="G91" s="238"/>
      <c r="H91" s="238"/>
      <c r="I91" s="238"/>
      <c r="J91" s="238"/>
      <c r="K91" s="238"/>
      <c r="L91" s="238"/>
      <c r="M91" s="238"/>
      <c r="N91" s="238"/>
      <c r="O91" s="238"/>
      <c r="P91" s="238"/>
      <c r="Q91" s="238"/>
      <c r="R91" s="238"/>
      <c r="S91" s="238"/>
      <c r="T91" s="238"/>
      <c r="U91" s="238"/>
      <c r="V91" s="238"/>
      <c r="W91" s="238"/>
      <c r="X91" s="238"/>
      <c r="Y91" s="238"/>
      <c r="Z91" s="238"/>
    </row>
    <row r="92" ht="15.75" customHeight="1">
      <c r="A92" s="238"/>
      <c r="B92" s="238"/>
      <c r="C92" s="238"/>
      <c r="D92" s="238"/>
      <c r="E92" s="238"/>
      <c r="F92" s="238"/>
      <c r="G92" s="238"/>
      <c r="H92" s="238"/>
      <c r="I92" s="238"/>
      <c r="J92" s="238"/>
      <c r="K92" s="238"/>
      <c r="L92" s="238"/>
      <c r="M92" s="238"/>
      <c r="N92" s="238"/>
      <c r="O92" s="238"/>
      <c r="P92" s="238"/>
      <c r="Q92" s="238"/>
      <c r="R92" s="238"/>
      <c r="S92" s="238"/>
      <c r="T92" s="238"/>
      <c r="U92" s="238"/>
      <c r="V92" s="238"/>
      <c r="W92" s="238"/>
      <c r="X92" s="238"/>
      <c r="Y92" s="238"/>
      <c r="Z92" s="238"/>
    </row>
    <row r="93" ht="15.75" customHeight="1">
      <c r="A93" s="238"/>
      <c r="B93" s="238"/>
      <c r="C93" s="238"/>
      <c r="D93" s="238"/>
      <c r="E93" s="243"/>
      <c r="F93" s="238"/>
      <c r="G93" s="238"/>
      <c r="H93" s="238"/>
      <c r="I93" s="238"/>
      <c r="J93" s="238"/>
      <c r="K93" s="238"/>
      <c r="L93" s="238"/>
      <c r="M93" s="238"/>
      <c r="N93" s="238"/>
      <c r="O93" s="238"/>
      <c r="P93" s="238"/>
      <c r="Q93" s="238"/>
      <c r="R93" s="238"/>
      <c r="S93" s="238"/>
      <c r="T93" s="238"/>
      <c r="U93" s="238"/>
      <c r="V93" s="238"/>
      <c r="W93" s="238"/>
      <c r="X93" s="238"/>
      <c r="Y93" s="238"/>
      <c r="Z93" s="238"/>
    </row>
    <row r="94" ht="15.75" customHeight="1">
      <c r="C94" s="235" t="s">
        <v>91</v>
      </c>
      <c r="D94" s="236" t="s">
        <v>92</v>
      </c>
      <c r="E94" s="237" t="s">
        <v>93</v>
      </c>
      <c r="F94" s="238"/>
      <c r="G94" s="238"/>
      <c r="H94" s="238"/>
      <c r="I94" s="238"/>
      <c r="J94" s="238"/>
      <c r="K94" s="238"/>
      <c r="L94" s="238"/>
      <c r="M94" s="238"/>
      <c r="N94" s="238"/>
      <c r="O94" s="238"/>
      <c r="P94" s="238"/>
      <c r="Q94" s="238"/>
      <c r="R94" s="238"/>
      <c r="S94" s="238"/>
      <c r="T94" s="238"/>
      <c r="U94" s="238"/>
      <c r="V94" s="238"/>
      <c r="W94" s="238"/>
      <c r="X94" s="238"/>
      <c r="Y94" s="238"/>
      <c r="Z94" s="238"/>
    </row>
    <row r="95" ht="15.75" customHeight="1">
      <c r="C95" s="128">
        <v>5.0</v>
      </c>
      <c r="D95" s="128">
        <v>0.0</v>
      </c>
      <c r="E95" s="128">
        <v>-15.0</v>
      </c>
      <c r="F95" s="238"/>
      <c r="G95" s="238"/>
      <c r="H95" s="238"/>
      <c r="I95" s="238"/>
      <c r="J95" s="238"/>
      <c r="K95" s="238"/>
      <c r="L95" s="238"/>
      <c r="M95" s="238"/>
      <c r="N95" s="238"/>
      <c r="O95" s="238"/>
      <c r="P95" s="238"/>
      <c r="Q95" s="238"/>
      <c r="R95" s="238"/>
      <c r="S95" s="238"/>
      <c r="T95" s="238"/>
      <c r="U95" s="238"/>
      <c r="V95" s="238"/>
      <c r="W95" s="238"/>
      <c r="X95" s="238"/>
      <c r="Y95" s="238"/>
      <c r="Z95" s="238"/>
    </row>
    <row r="96" ht="15.75" customHeight="1">
      <c r="C96" s="128">
        <v>5.0</v>
      </c>
      <c r="D96" s="128">
        <v>0.0</v>
      </c>
      <c r="E96" s="128">
        <v>-15.0</v>
      </c>
      <c r="F96" s="238"/>
      <c r="G96" s="238"/>
      <c r="H96" s="238"/>
      <c r="I96" s="238"/>
      <c r="J96" s="238"/>
      <c r="K96" s="238"/>
      <c r="L96" s="238"/>
      <c r="M96" s="238"/>
      <c r="N96" s="238"/>
      <c r="O96" s="238"/>
      <c r="P96" s="238"/>
      <c r="Q96" s="238"/>
      <c r="R96" s="238"/>
      <c r="S96" s="238"/>
      <c r="T96" s="238"/>
      <c r="U96" s="238"/>
      <c r="V96" s="238"/>
      <c r="W96" s="238"/>
      <c r="X96" s="238"/>
      <c r="Y96" s="238"/>
      <c r="Z96" s="238"/>
    </row>
    <row r="97" ht="15.75" customHeight="1">
      <c r="C97" s="128">
        <v>5.0</v>
      </c>
      <c r="D97" s="128">
        <v>0.0</v>
      </c>
      <c r="E97" s="128">
        <v>-15.0</v>
      </c>
      <c r="F97" s="238"/>
      <c r="G97" s="238"/>
      <c r="H97" s="238"/>
      <c r="I97" s="238"/>
      <c r="J97" s="238"/>
      <c r="K97" s="238"/>
      <c r="L97" s="238"/>
      <c r="M97" s="238"/>
      <c r="N97" s="238"/>
      <c r="O97" s="238"/>
      <c r="P97" s="238"/>
      <c r="Q97" s="238"/>
      <c r="R97" s="238"/>
      <c r="S97" s="238"/>
      <c r="T97" s="238"/>
      <c r="U97" s="238"/>
      <c r="V97" s="238"/>
      <c r="W97" s="238"/>
      <c r="X97" s="238"/>
      <c r="Y97" s="238"/>
      <c r="Z97" s="238"/>
    </row>
    <row r="98" ht="15.75" customHeight="1">
      <c r="C98" s="128">
        <v>5.0</v>
      </c>
      <c r="D98" s="128">
        <v>0.0</v>
      </c>
      <c r="E98" s="128">
        <v>-15.0</v>
      </c>
      <c r="F98" s="238"/>
      <c r="G98" s="238"/>
      <c r="H98" s="238"/>
      <c r="I98" s="238"/>
      <c r="J98" s="238"/>
      <c r="K98" s="238"/>
      <c r="L98" s="238"/>
      <c r="M98" s="238"/>
      <c r="N98" s="238"/>
      <c r="O98" s="238"/>
      <c r="P98" s="238"/>
      <c r="Q98" s="238"/>
      <c r="R98" s="238"/>
      <c r="S98" s="238"/>
      <c r="T98" s="238"/>
      <c r="U98" s="238"/>
      <c r="V98" s="238"/>
      <c r="W98" s="238"/>
      <c r="X98" s="238"/>
      <c r="Y98" s="238"/>
      <c r="Z98" s="238"/>
    </row>
    <row r="99" ht="15.75" customHeight="1">
      <c r="C99" s="128">
        <v>5.0</v>
      </c>
      <c r="D99" s="128">
        <v>0.0</v>
      </c>
      <c r="E99" s="128">
        <v>-15.0</v>
      </c>
      <c r="F99" s="238"/>
      <c r="G99" s="238"/>
      <c r="H99" s="238"/>
      <c r="I99" s="238"/>
      <c r="J99" s="238"/>
      <c r="K99" s="238"/>
      <c r="L99" s="238"/>
      <c r="M99" s="238"/>
      <c r="N99" s="238"/>
      <c r="O99" s="238"/>
      <c r="P99" s="238"/>
      <c r="Q99" s="238"/>
      <c r="R99" s="238"/>
      <c r="S99" s="238"/>
      <c r="T99" s="238"/>
      <c r="U99" s="238"/>
      <c r="V99" s="238"/>
      <c r="W99" s="238"/>
      <c r="X99" s="238"/>
      <c r="Y99" s="238"/>
      <c r="Z99" s="238"/>
    </row>
    <row r="100" ht="15.75" customHeight="1">
      <c r="C100" s="128">
        <v>5.0</v>
      </c>
      <c r="D100" s="128">
        <v>0.0</v>
      </c>
      <c r="E100" s="128">
        <v>-15.0</v>
      </c>
      <c r="F100" s="238"/>
      <c r="G100" s="238"/>
      <c r="H100" s="238"/>
      <c r="I100" s="238"/>
      <c r="J100" s="238"/>
      <c r="K100" s="238"/>
      <c r="L100" s="238"/>
      <c r="M100" s="238"/>
      <c r="N100" s="238"/>
      <c r="O100" s="238"/>
      <c r="P100" s="238"/>
      <c r="Q100" s="238"/>
      <c r="R100" s="238"/>
      <c r="S100" s="238"/>
      <c r="T100" s="238"/>
      <c r="U100" s="238"/>
      <c r="V100" s="238"/>
      <c r="W100" s="238"/>
      <c r="X100" s="238"/>
      <c r="Y100" s="238"/>
      <c r="Z100" s="238"/>
    </row>
    <row r="101" ht="15.75" customHeight="1">
      <c r="C101" s="128">
        <v>5.0</v>
      </c>
      <c r="D101" s="128">
        <v>0.0</v>
      </c>
      <c r="E101" s="128">
        <v>-15.0</v>
      </c>
      <c r="F101" s="238"/>
      <c r="G101" s="238"/>
      <c r="H101" s="238"/>
      <c r="I101" s="238"/>
      <c r="J101" s="238"/>
      <c r="K101" s="238"/>
      <c r="L101" s="238"/>
      <c r="M101" s="238"/>
      <c r="N101" s="238"/>
      <c r="O101" s="238"/>
      <c r="P101" s="238"/>
      <c r="Q101" s="238"/>
      <c r="R101" s="238"/>
      <c r="S101" s="238"/>
      <c r="T101" s="238"/>
      <c r="U101" s="238"/>
      <c r="V101" s="238"/>
      <c r="W101" s="238"/>
      <c r="X101" s="238"/>
      <c r="Y101" s="238"/>
      <c r="Z101" s="238"/>
    </row>
    <row r="102" ht="15.75" customHeight="1">
      <c r="C102" s="128">
        <v>5.0</v>
      </c>
      <c r="D102" s="128">
        <v>0.0</v>
      </c>
      <c r="E102" s="128">
        <v>-15.0</v>
      </c>
      <c r="F102" s="238"/>
      <c r="G102" s="238"/>
      <c r="H102" s="238"/>
      <c r="I102" s="238"/>
      <c r="J102" s="238"/>
      <c r="K102" s="238"/>
      <c r="L102" s="238"/>
      <c r="M102" s="238"/>
      <c r="N102" s="238"/>
      <c r="O102" s="238"/>
      <c r="P102" s="238"/>
      <c r="Q102" s="238"/>
      <c r="R102" s="238"/>
      <c r="S102" s="238"/>
      <c r="T102" s="238"/>
      <c r="U102" s="238"/>
      <c r="V102" s="238"/>
      <c r="W102" s="238"/>
      <c r="X102" s="238"/>
      <c r="Y102" s="238"/>
      <c r="Z102" s="238"/>
    </row>
    <row r="103" ht="15.75" customHeight="1">
      <c r="C103" s="128">
        <v>5.0</v>
      </c>
      <c r="D103" s="128">
        <v>0.0</v>
      </c>
      <c r="E103" s="128">
        <v>-15.0</v>
      </c>
      <c r="F103" s="238"/>
      <c r="G103" s="238"/>
      <c r="H103" s="238"/>
      <c r="I103" s="238"/>
      <c r="J103" s="238"/>
      <c r="K103" s="238"/>
      <c r="L103" s="238"/>
      <c r="M103" s="238"/>
      <c r="N103" s="238"/>
      <c r="O103" s="238"/>
      <c r="P103" s="238"/>
      <c r="Q103" s="238"/>
      <c r="R103" s="238"/>
      <c r="S103" s="238"/>
      <c r="T103" s="238"/>
      <c r="U103" s="238"/>
      <c r="V103" s="238"/>
      <c r="W103" s="238"/>
      <c r="X103" s="238"/>
      <c r="Y103" s="238"/>
      <c r="Z103" s="238"/>
    </row>
    <row r="104" ht="15.75" customHeight="1">
      <c r="C104" s="128">
        <v>5.0</v>
      </c>
      <c r="D104" s="128">
        <v>0.0</v>
      </c>
      <c r="E104" s="128">
        <v>-15.0</v>
      </c>
      <c r="F104" s="238"/>
      <c r="G104" s="238"/>
      <c r="H104" s="238"/>
      <c r="I104" s="238"/>
      <c r="J104" s="238"/>
      <c r="K104" s="238"/>
      <c r="L104" s="238"/>
      <c r="M104" s="238"/>
      <c r="N104" s="238"/>
      <c r="O104" s="238"/>
      <c r="P104" s="238"/>
      <c r="Q104" s="238"/>
      <c r="R104" s="238"/>
      <c r="S104" s="238"/>
      <c r="T104" s="238"/>
      <c r="U104" s="238"/>
      <c r="V104" s="238"/>
      <c r="W104" s="238"/>
      <c r="X104" s="238"/>
      <c r="Y104" s="238"/>
      <c r="Z104" s="238"/>
    </row>
    <row r="105" ht="15.75" customHeight="1">
      <c r="C105" s="128">
        <v>5.0</v>
      </c>
      <c r="D105" s="128">
        <v>0.0</v>
      </c>
      <c r="E105" s="128">
        <v>-15.0</v>
      </c>
      <c r="F105" s="238"/>
      <c r="G105" s="238"/>
      <c r="H105" s="238"/>
      <c r="I105" s="238"/>
      <c r="J105" s="238"/>
      <c r="K105" s="238"/>
      <c r="L105" s="238"/>
      <c r="M105" s="238"/>
      <c r="N105" s="238"/>
      <c r="O105" s="238"/>
      <c r="P105" s="238"/>
      <c r="Q105" s="238"/>
      <c r="R105" s="238"/>
      <c r="S105" s="238"/>
      <c r="T105" s="238"/>
      <c r="U105" s="238"/>
      <c r="V105" s="238"/>
      <c r="W105" s="238"/>
      <c r="X105" s="238"/>
      <c r="Y105" s="238"/>
      <c r="Z105" s="238"/>
    </row>
    <row r="106" ht="15.75" customHeight="1">
      <c r="C106" s="128">
        <v>5.0</v>
      </c>
      <c r="D106" s="128">
        <v>0.0</v>
      </c>
      <c r="E106" s="128">
        <v>-15.0</v>
      </c>
      <c r="F106" s="238"/>
      <c r="G106" s="238"/>
      <c r="H106" s="238"/>
      <c r="I106" s="238"/>
      <c r="J106" s="238"/>
      <c r="K106" s="238"/>
      <c r="L106" s="238"/>
      <c r="M106" s="238"/>
      <c r="N106" s="238"/>
      <c r="O106" s="238"/>
      <c r="P106" s="238"/>
      <c r="Q106" s="238"/>
      <c r="R106" s="238"/>
      <c r="S106" s="238"/>
      <c r="T106" s="238"/>
      <c r="U106" s="238"/>
      <c r="V106" s="238"/>
      <c r="W106" s="238"/>
      <c r="X106" s="238"/>
      <c r="Y106" s="238"/>
      <c r="Z106" s="238"/>
    </row>
    <row r="107" ht="15.75" customHeight="1">
      <c r="C107" s="128">
        <v>5.0</v>
      </c>
      <c r="D107" s="128">
        <v>0.0</v>
      </c>
      <c r="E107" s="128">
        <v>-15.0</v>
      </c>
      <c r="F107" s="238"/>
      <c r="G107" s="238"/>
      <c r="H107" s="238"/>
      <c r="I107" s="238"/>
      <c r="J107" s="238"/>
      <c r="K107" s="238"/>
      <c r="L107" s="238"/>
      <c r="M107" s="238"/>
      <c r="N107" s="238"/>
      <c r="O107" s="238"/>
      <c r="P107" s="238"/>
      <c r="Q107" s="238"/>
      <c r="R107" s="238"/>
      <c r="S107" s="238"/>
      <c r="T107" s="238"/>
      <c r="U107" s="238"/>
      <c r="V107" s="238"/>
      <c r="W107" s="238"/>
      <c r="X107" s="238"/>
      <c r="Y107" s="238"/>
      <c r="Z107" s="238"/>
    </row>
    <row r="108" ht="15.75" customHeight="1">
      <c r="C108" s="128">
        <v>5.0</v>
      </c>
      <c r="D108" s="128">
        <v>0.0</v>
      </c>
      <c r="E108" s="128">
        <v>-15.0</v>
      </c>
      <c r="F108" s="238"/>
      <c r="G108" s="238"/>
      <c r="H108" s="238"/>
      <c r="I108" s="238"/>
      <c r="J108" s="238"/>
      <c r="K108" s="238"/>
      <c r="L108" s="238"/>
      <c r="M108" s="238"/>
      <c r="N108" s="238"/>
      <c r="O108" s="238"/>
      <c r="P108" s="238"/>
      <c r="Q108" s="238"/>
      <c r="R108" s="238"/>
      <c r="S108" s="238"/>
      <c r="T108" s="238"/>
      <c r="U108" s="238"/>
      <c r="V108" s="238"/>
      <c r="W108" s="238"/>
      <c r="X108" s="238"/>
      <c r="Y108" s="238"/>
      <c r="Z108" s="238"/>
    </row>
    <row r="109" ht="15.75" customHeight="1">
      <c r="C109" s="128">
        <v>5.0</v>
      </c>
      <c r="D109" s="128">
        <v>0.0</v>
      </c>
      <c r="E109" s="128">
        <v>-15.0</v>
      </c>
      <c r="F109" s="238"/>
      <c r="G109" s="238"/>
      <c r="H109" s="238"/>
      <c r="I109" s="238"/>
      <c r="J109" s="238"/>
      <c r="K109" s="238"/>
      <c r="L109" s="238"/>
      <c r="M109" s="238"/>
      <c r="N109" s="238"/>
      <c r="O109" s="238"/>
      <c r="P109" s="238"/>
      <c r="Q109" s="238"/>
      <c r="R109" s="238"/>
      <c r="S109" s="238"/>
      <c r="T109" s="238"/>
      <c r="U109" s="238"/>
      <c r="V109" s="238"/>
      <c r="W109" s="238"/>
      <c r="X109" s="238"/>
      <c r="Y109" s="238"/>
      <c r="Z109" s="238"/>
    </row>
    <row r="110" ht="15.75" customHeight="1">
      <c r="C110" s="128">
        <v>5.0</v>
      </c>
      <c r="D110" s="128">
        <v>0.0</v>
      </c>
      <c r="E110" s="128">
        <v>-15.0</v>
      </c>
      <c r="F110" s="238"/>
      <c r="G110" s="238"/>
      <c r="H110" s="238"/>
      <c r="I110" s="238"/>
      <c r="J110" s="238"/>
      <c r="K110" s="238"/>
      <c r="L110" s="238"/>
      <c r="M110" s="238"/>
      <c r="N110" s="238"/>
      <c r="O110" s="238"/>
      <c r="P110" s="238"/>
      <c r="Q110" s="238"/>
      <c r="R110" s="238"/>
      <c r="S110" s="238"/>
      <c r="T110" s="238"/>
      <c r="U110" s="238"/>
      <c r="V110" s="238"/>
      <c r="W110" s="238"/>
      <c r="X110" s="238"/>
      <c r="Y110" s="238"/>
      <c r="Z110" s="238"/>
    </row>
    <row r="111" ht="15.75" customHeight="1">
      <c r="C111" s="128">
        <v>5.0</v>
      </c>
      <c r="D111" s="128">
        <v>0.0</v>
      </c>
      <c r="E111" s="128">
        <v>-15.0</v>
      </c>
      <c r="F111" s="238"/>
      <c r="G111" s="238"/>
      <c r="H111" s="238"/>
      <c r="I111" s="238"/>
      <c r="J111" s="238"/>
      <c r="K111" s="238"/>
      <c r="L111" s="238"/>
      <c r="M111" s="238"/>
      <c r="N111" s="238"/>
      <c r="O111" s="238"/>
      <c r="P111" s="238"/>
      <c r="Q111" s="238"/>
      <c r="R111" s="238"/>
      <c r="S111" s="238"/>
      <c r="T111" s="238"/>
      <c r="U111" s="238"/>
      <c r="V111" s="238"/>
      <c r="W111" s="238"/>
      <c r="X111" s="238"/>
      <c r="Y111" s="238"/>
      <c r="Z111" s="238"/>
    </row>
    <row r="112" ht="15.75" customHeight="1">
      <c r="C112" s="128">
        <v>5.0</v>
      </c>
      <c r="D112" s="128">
        <v>0.0</v>
      </c>
      <c r="E112" s="128">
        <v>-15.0</v>
      </c>
      <c r="F112" s="238"/>
      <c r="G112" s="238"/>
      <c r="H112" s="238"/>
      <c r="I112" s="238"/>
      <c r="J112" s="238"/>
      <c r="K112" s="238"/>
      <c r="L112" s="238"/>
      <c r="M112" s="238"/>
      <c r="N112" s="238"/>
      <c r="O112" s="238"/>
      <c r="P112" s="238"/>
      <c r="Q112" s="238"/>
      <c r="R112" s="238"/>
      <c r="S112" s="238"/>
      <c r="T112" s="238"/>
      <c r="U112" s="238"/>
      <c r="V112" s="238"/>
      <c r="W112" s="238"/>
      <c r="X112" s="238"/>
      <c r="Y112" s="238"/>
      <c r="Z112" s="238"/>
    </row>
    <row r="113" ht="15.75" customHeight="1">
      <c r="C113" s="128">
        <v>5.0</v>
      </c>
      <c r="D113" s="128">
        <v>0.0</v>
      </c>
      <c r="E113" s="128">
        <v>-15.0</v>
      </c>
      <c r="F113" s="238"/>
      <c r="G113" s="238"/>
      <c r="H113" s="238"/>
      <c r="I113" s="238"/>
      <c r="J113" s="238"/>
      <c r="K113" s="238"/>
      <c r="L113" s="238"/>
      <c r="M113" s="238"/>
      <c r="N113" s="238"/>
      <c r="O113" s="238"/>
      <c r="P113" s="238"/>
      <c r="Q113" s="238"/>
      <c r="R113" s="238"/>
      <c r="S113" s="238"/>
      <c r="T113" s="238"/>
      <c r="U113" s="238"/>
      <c r="V113" s="238"/>
      <c r="W113" s="238"/>
      <c r="X113" s="238"/>
      <c r="Y113" s="238"/>
      <c r="Z113" s="238"/>
    </row>
    <row r="114" ht="15.75" customHeight="1">
      <c r="A114" s="238"/>
      <c r="B114" s="238"/>
      <c r="C114" s="238"/>
      <c r="D114" s="238"/>
      <c r="E114" s="238"/>
      <c r="F114" s="238"/>
      <c r="G114" s="238"/>
      <c r="H114" s="238"/>
      <c r="I114" s="238"/>
      <c r="J114" s="238"/>
      <c r="K114" s="238"/>
      <c r="L114" s="238"/>
      <c r="M114" s="238"/>
      <c r="N114" s="238"/>
      <c r="O114" s="238"/>
      <c r="P114" s="238"/>
      <c r="Q114" s="238"/>
      <c r="R114" s="238"/>
      <c r="S114" s="238"/>
      <c r="T114" s="238"/>
      <c r="U114" s="238"/>
      <c r="V114" s="238"/>
      <c r="W114" s="238"/>
      <c r="X114" s="238"/>
      <c r="Y114" s="238"/>
      <c r="Z114" s="238"/>
    </row>
    <row r="115" ht="15.75" customHeight="1">
      <c r="A115" s="238"/>
      <c r="B115" s="238"/>
      <c r="C115" s="238"/>
      <c r="D115" s="238"/>
      <c r="E115" s="238"/>
      <c r="F115" s="238"/>
      <c r="G115" s="238"/>
      <c r="H115" s="238"/>
      <c r="I115" s="238"/>
      <c r="J115" s="238"/>
      <c r="K115" s="238"/>
      <c r="L115" s="238"/>
      <c r="M115" s="238"/>
      <c r="N115" s="238"/>
      <c r="O115" s="238"/>
      <c r="P115" s="238"/>
      <c r="Q115" s="238"/>
      <c r="R115" s="238"/>
      <c r="S115" s="238"/>
      <c r="T115" s="238"/>
      <c r="U115" s="238"/>
      <c r="V115" s="238"/>
      <c r="W115" s="238"/>
      <c r="X115" s="238"/>
      <c r="Y115" s="238"/>
      <c r="Z115" s="238"/>
    </row>
    <row r="116" ht="15.75" customHeight="1">
      <c r="A116" s="238"/>
      <c r="B116" s="238"/>
      <c r="C116" s="238"/>
      <c r="D116" s="238"/>
      <c r="E116" s="238"/>
      <c r="F116" s="238"/>
      <c r="G116" s="238"/>
      <c r="H116" s="238"/>
      <c r="I116" s="238"/>
      <c r="J116" s="238"/>
      <c r="K116" s="238"/>
      <c r="L116" s="238"/>
      <c r="M116" s="238"/>
      <c r="N116" s="238"/>
      <c r="O116" s="238"/>
      <c r="P116" s="238"/>
      <c r="Q116" s="238"/>
      <c r="R116" s="238"/>
      <c r="S116" s="238"/>
      <c r="T116" s="238"/>
      <c r="U116" s="238"/>
      <c r="V116" s="238"/>
      <c r="W116" s="238"/>
    </row>
    <row r="117" ht="15.75" customHeight="1">
      <c r="A117" s="238"/>
      <c r="B117" s="238"/>
      <c r="C117" s="238"/>
      <c r="D117" s="238"/>
      <c r="E117" s="238"/>
      <c r="F117" s="238"/>
      <c r="G117" s="238"/>
      <c r="H117" s="238"/>
      <c r="I117" s="238"/>
      <c r="J117" s="238"/>
      <c r="K117" s="238"/>
      <c r="L117" s="238"/>
      <c r="M117" s="238"/>
      <c r="N117" s="238"/>
      <c r="O117" s="238"/>
      <c r="P117" s="238"/>
      <c r="Q117" s="238"/>
      <c r="R117" s="238"/>
      <c r="S117" s="238"/>
      <c r="T117" s="238"/>
      <c r="U117" s="238"/>
      <c r="V117" s="238"/>
      <c r="W117" s="238"/>
    </row>
    <row r="118" ht="15.75" customHeight="1">
      <c r="C118" s="235" t="s">
        <v>91</v>
      </c>
      <c r="D118" s="236" t="s">
        <v>92</v>
      </c>
      <c r="E118" s="237" t="s">
        <v>93</v>
      </c>
      <c r="F118" s="238"/>
      <c r="G118" s="238"/>
      <c r="H118" s="238"/>
      <c r="I118" s="238"/>
      <c r="J118" s="238"/>
      <c r="K118" s="238"/>
      <c r="L118" s="238"/>
      <c r="M118" s="238"/>
      <c r="N118" s="238"/>
      <c r="O118" s="238"/>
      <c r="P118" s="238"/>
      <c r="Q118" s="238"/>
      <c r="R118" s="238"/>
      <c r="S118" s="238"/>
      <c r="T118" s="238"/>
      <c r="U118" s="238"/>
      <c r="V118" s="238"/>
      <c r="W118" s="238"/>
    </row>
    <row r="119" ht="15.75" customHeight="1">
      <c r="C119" s="56">
        <v>110.0</v>
      </c>
      <c r="D119" s="56">
        <v>100.0</v>
      </c>
      <c r="E119" s="56">
        <v>90.0</v>
      </c>
      <c r="F119" s="238"/>
      <c r="G119" s="238"/>
      <c r="H119" s="238"/>
      <c r="I119" s="238"/>
      <c r="J119" s="238"/>
      <c r="K119" s="238"/>
      <c r="L119" s="238"/>
      <c r="M119" s="238"/>
      <c r="N119" s="238"/>
      <c r="O119" s="238"/>
      <c r="P119" s="238"/>
      <c r="Q119" s="238"/>
      <c r="R119" s="238"/>
      <c r="S119" s="238"/>
      <c r="T119" s="238"/>
      <c r="U119" s="238"/>
      <c r="V119" s="238"/>
      <c r="W119" s="238"/>
    </row>
    <row r="120" ht="15.75" customHeight="1">
      <c r="C120" s="56">
        <v>110.0</v>
      </c>
      <c r="D120" s="56">
        <v>100.0</v>
      </c>
      <c r="E120" s="56">
        <v>90.0</v>
      </c>
      <c r="F120" s="238"/>
      <c r="G120" s="238"/>
      <c r="H120" s="238"/>
      <c r="I120" s="238"/>
      <c r="J120" s="238"/>
      <c r="K120" s="238"/>
      <c r="L120" s="238"/>
      <c r="M120" s="238"/>
      <c r="N120" s="238"/>
      <c r="O120" s="238"/>
      <c r="P120" s="238"/>
      <c r="Q120" s="238"/>
      <c r="R120" s="238"/>
      <c r="S120" s="238"/>
      <c r="T120" s="238"/>
      <c r="U120" s="238"/>
      <c r="V120" s="238"/>
      <c r="W120" s="238"/>
    </row>
    <row r="121" ht="15.75" customHeight="1">
      <c r="C121" s="56">
        <v>110.0</v>
      </c>
      <c r="D121" s="56">
        <v>100.0</v>
      </c>
      <c r="E121" s="56">
        <v>90.0</v>
      </c>
      <c r="F121" s="238"/>
      <c r="G121" s="238"/>
      <c r="H121" s="238"/>
      <c r="I121" s="238"/>
      <c r="J121" s="238"/>
      <c r="K121" s="238"/>
      <c r="L121" s="238"/>
      <c r="M121" s="238"/>
      <c r="N121" s="238"/>
      <c r="O121" s="238"/>
      <c r="P121" s="238"/>
      <c r="Q121" s="238"/>
      <c r="R121" s="238"/>
      <c r="S121" s="238"/>
      <c r="T121" s="238"/>
      <c r="U121" s="238"/>
      <c r="V121" s="238"/>
      <c r="W121" s="238"/>
    </row>
    <row r="122" ht="15.75" customHeight="1">
      <c r="C122" s="56">
        <v>110.0</v>
      </c>
      <c r="D122" s="56">
        <v>100.0</v>
      </c>
      <c r="E122" s="56">
        <v>90.0</v>
      </c>
      <c r="F122" s="238"/>
      <c r="G122" s="238"/>
      <c r="H122" s="238"/>
      <c r="I122" s="238"/>
      <c r="J122" s="238"/>
      <c r="K122" s="238"/>
      <c r="L122" s="238"/>
      <c r="M122" s="238"/>
      <c r="N122" s="238"/>
      <c r="O122" s="238"/>
      <c r="P122" s="238"/>
      <c r="Q122" s="238"/>
      <c r="R122" s="238"/>
      <c r="S122" s="238"/>
      <c r="T122" s="238"/>
      <c r="U122" s="238"/>
      <c r="V122" s="238"/>
      <c r="W122" s="238"/>
    </row>
    <row r="123" ht="15.75" customHeight="1">
      <c r="C123" s="56">
        <v>110.0</v>
      </c>
      <c r="D123" s="56">
        <v>100.0</v>
      </c>
      <c r="E123" s="56">
        <v>90.0</v>
      </c>
      <c r="F123" s="238"/>
      <c r="G123" s="238"/>
      <c r="H123" s="238"/>
      <c r="I123" s="238"/>
      <c r="J123" s="238"/>
      <c r="K123" s="238"/>
      <c r="L123" s="238"/>
      <c r="M123" s="238"/>
      <c r="N123" s="238"/>
      <c r="O123" s="238"/>
      <c r="P123" s="238"/>
      <c r="Q123" s="238"/>
      <c r="R123" s="238"/>
      <c r="S123" s="238"/>
      <c r="T123" s="238"/>
      <c r="U123" s="238"/>
      <c r="V123" s="238"/>
      <c r="W123" s="238"/>
    </row>
    <row r="124" ht="15.75" customHeight="1">
      <c r="C124" s="56">
        <v>110.0</v>
      </c>
      <c r="D124" s="56">
        <v>100.0</v>
      </c>
      <c r="E124" s="56">
        <v>90.0</v>
      </c>
      <c r="F124" s="238"/>
      <c r="G124" s="238"/>
      <c r="H124" s="238"/>
      <c r="I124" s="238"/>
      <c r="J124" s="238"/>
      <c r="K124" s="238"/>
      <c r="L124" s="238"/>
      <c r="M124" s="238"/>
      <c r="N124" s="238"/>
      <c r="O124" s="238"/>
      <c r="P124" s="238"/>
      <c r="Q124" s="238"/>
      <c r="R124" s="238"/>
      <c r="S124" s="238"/>
      <c r="T124" s="238"/>
      <c r="U124" s="238"/>
      <c r="V124" s="238"/>
      <c r="W124" s="238"/>
    </row>
    <row r="125" ht="15.75" customHeight="1">
      <c r="C125" s="56">
        <v>110.0</v>
      </c>
      <c r="D125" s="56">
        <v>100.0</v>
      </c>
      <c r="E125" s="56">
        <v>90.0</v>
      </c>
      <c r="F125" s="238"/>
      <c r="G125" s="238"/>
      <c r="H125" s="238"/>
      <c r="I125" s="238"/>
      <c r="J125" s="238"/>
      <c r="K125" s="238"/>
      <c r="L125" s="238"/>
      <c r="M125" s="238"/>
      <c r="N125" s="238"/>
      <c r="O125" s="238"/>
      <c r="P125" s="238"/>
      <c r="Q125" s="238"/>
      <c r="R125" s="238"/>
      <c r="S125" s="238"/>
      <c r="T125" s="238"/>
      <c r="U125" s="238"/>
      <c r="V125" s="238"/>
      <c r="W125" s="238"/>
    </row>
    <row r="126" ht="15.75" customHeight="1">
      <c r="C126" s="56">
        <v>110.0</v>
      </c>
      <c r="D126" s="56">
        <v>100.0</v>
      </c>
      <c r="E126" s="56">
        <v>90.0</v>
      </c>
      <c r="F126" s="238"/>
      <c r="G126" s="238"/>
      <c r="H126" s="238"/>
      <c r="I126" s="238"/>
      <c r="J126" s="238"/>
      <c r="K126" s="238"/>
      <c r="L126" s="238"/>
      <c r="M126" s="238"/>
      <c r="N126" s="238"/>
      <c r="O126" s="238"/>
      <c r="P126" s="238"/>
      <c r="Q126" s="238"/>
      <c r="R126" s="238"/>
      <c r="S126" s="238"/>
      <c r="T126" s="238"/>
      <c r="U126" s="238"/>
      <c r="V126" s="238"/>
      <c r="W126" s="238"/>
    </row>
    <row r="127" ht="15.75" customHeight="1">
      <c r="C127" s="56">
        <v>110.0</v>
      </c>
      <c r="D127" s="56">
        <v>100.0</v>
      </c>
      <c r="E127" s="56">
        <v>90.0</v>
      </c>
      <c r="F127" s="238"/>
      <c r="G127" s="238"/>
      <c r="H127" s="238"/>
      <c r="I127" s="238"/>
      <c r="J127" s="238"/>
      <c r="K127" s="238"/>
      <c r="L127" s="238"/>
      <c r="M127" s="238"/>
      <c r="N127" s="238"/>
      <c r="O127" s="238"/>
      <c r="P127" s="238"/>
      <c r="Q127" s="238"/>
      <c r="R127" s="238"/>
      <c r="S127" s="238"/>
      <c r="T127" s="238"/>
      <c r="U127" s="238"/>
      <c r="V127" s="238"/>
      <c r="W127" s="238"/>
    </row>
    <row r="128" ht="15.75" customHeight="1">
      <c r="C128" s="56">
        <v>110.0</v>
      </c>
      <c r="D128" s="56">
        <v>100.0</v>
      </c>
      <c r="E128" s="56">
        <v>90.0</v>
      </c>
      <c r="F128" s="238"/>
      <c r="G128" s="238"/>
      <c r="H128" s="238"/>
      <c r="I128" s="238"/>
      <c r="J128" s="238"/>
      <c r="K128" s="238"/>
      <c r="L128" s="238"/>
      <c r="M128" s="238"/>
      <c r="N128" s="238"/>
      <c r="O128" s="238"/>
      <c r="P128" s="238"/>
      <c r="Q128" s="238"/>
      <c r="R128" s="238"/>
      <c r="S128" s="238"/>
      <c r="T128" s="238"/>
      <c r="U128" s="238"/>
      <c r="V128" s="238"/>
      <c r="W128" s="238"/>
    </row>
    <row r="129" ht="15.75" customHeight="1">
      <c r="C129" s="56">
        <v>110.0</v>
      </c>
      <c r="D129" s="56">
        <v>100.0</v>
      </c>
      <c r="E129" s="56">
        <v>90.0</v>
      </c>
      <c r="F129" s="238"/>
      <c r="G129" s="238"/>
      <c r="H129" s="238"/>
      <c r="I129" s="238"/>
      <c r="J129" s="238"/>
      <c r="K129" s="238"/>
      <c r="L129" s="238"/>
      <c r="M129" s="238"/>
      <c r="N129" s="238"/>
      <c r="O129" s="238"/>
      <c r="P129" s="238"/>
      <c r="Q129" s="238"/>
      <c r="R129" s="238"/>
      <c r="S129" s="238"/>
      <c r="T129" s="238"/>
      <c r="U129" s="238"/>
      <c r="V129" s="238"/>
      <c r="W129" s="238"/>
    </row>
    <row r="130" ht="15.75" customHeight="1">
      <c r="C130" s="56">
        <v>110.0</v>
      </c>
      <c r="D130" s="56">
        <v>100.0</v>
      </c>
      <c r="E130" s="56">
        <v>90.0</v>
      </c>
      <c r="F130" s="238"/>
      <c r="G130" s="238"/>
      <c r="H130" s="238"/>
      <c r="I130" s="238"/>
      <c r="J130" s="238"/>
      <c r="K130" s="238"/>
      <c r="L130" s="238"/>
      <c r="M130" s="238"/>
      <c r="N130" s="238"/>
      <c r="O130" s="238"/>
      <c r="P130" s="238"/>
      <c r="Q130" s="238"/>
      <c r="R130" s="238"/>
      <c r="S130" s="238"/>
      <c r="T130" s="238"/>
      <c r="U130" s="238"/>
      <c r="V130" s="238"/>
      <c r="W130" s="238"/>
    </row>
    <row r="131" ht="15.75" customHeight="1">
      <c r="C131" s="56">
        <v>110.0</v>
      </c>
      <c r="D131" s="56">
        <v>100.0</v>
      </c>
      <c r="E131" s="56">
        <v>90.0</v>
      </c>
      <c r="F131" s="238"/>
      <c r="G131" s="238"/>
      <c r="H131" s="238"/>
      <c r="I131" s="238"/>
      <c r="J131" s="238"/>
      <c r="K131" s="238"/>
      <c r="L131" s="238"/>
      <c r="M131" s="238"/>
      <c r="N131" s="238"/>
      <c r="O131" s="238"/>
      <c r="P131" s="238"/>
      <c r="Q131" s="238"/>
      <c r="R131" s="238"/>
      <c r="S131" s="238"/>
      <c r="T131" s="238"/>
      <c r="U131" s="238"/>
      <c r="V131" s="238"/>
      <c r="W131" s="238"/>
    </row>
    <row r="132" ht="15.75" customHeight="1">
      <c r="C132" s="56">
        <v>110.0</v>
      </c>
      <c r="D132" s="56">
        <v>100.0</v>
      </c>
      <c r="E132" s="56">
        <v>90.0</v>
      </c>
      <c r="F132" s="238"/>
      <c r="G132" s="238"/>
      <c r="H132" s="238"/>
      <c r="I132" s="238"/>
      <c r="J132" s="238"/>
      <c r="K132" s="238"/>
      <c r="L132" s="238"/>
      <c r="M132" s="238"/>
      <c r="N132" s="238"/>
      <c r="O132" s="238"/>
      <c r="P132" s="238"/>
      <c r="Q132" s="238"/>
      <c r="R132" s="238"/>
      <c r="S132" s="238"/>
      <c r="T132" s="238"/>
      <c r="U132" s="238"/>
      <c r="V132" s="238"/>
      <c r="W132" s="238"/>
    </row>
    <row r="133" ht="15.75" customHeight="1">
      <c r="C133" s="56">
        <v>110.0</v>
      </c>
      <c r="D133" s="56">
        <v>100.0</v>
      </c>
      <c r="E133" s="56">
        <v>90.0</v>
      </c>
      <c r="F133" s="238"/>
      <c r="G133" s="238"/>
      <c r="H133" s="238"/>
      <c r="I133" s="238"/>
      <c r="J133" s="238"/>
      <c r="K133" s="238"/>
      <c r="L133" s="238"/>
      <c r="M133" s="238"/>
      <c r="N133" s="238"/>
      <c r="O133" s="238"/>
      <c r="P133" s="238"/>
      <c r="Q133" s="238"/>
      <c r="R133" s="238"/>
      <c r="S133" s="238"/>
      <c r="T133" s="238"/>
      <c r="U133" s="238"/>
      <c r="V133" s="238"/>
      <c r="W133" s="238"/>
      <c r="X133" s="238"/>
      <c r="Y133" s="238"/>
      <c r="Z133" s="238"/>
    </row>
    <row r="134" ht="15.75" customHeight="1">
      <c r="C134" s="56">
        <v>110.0</v>
      </c>
      <c r="D134" s="56">
        <v>100.0</v>
      </c>
      <c r="E134" s="56">
        <v>90.0</v>
      </c>
      <c r="F134" s="238"/>
      <c r="G134" s="238"/>
      <c r="H134" s="238"/>
      <c r="I134" s="238"/>
      <c r="J134" s="238"/>
      <c r="K134" s="238"/>
      <c r="L134" s="238"/>
      <c r="M134" s="238"/>
      <c r="N134" s="238"/>
      <c r="O134" s="238"/>
      <c r="P134" s="238"/>
      <c r="Q134" s="238"/>
      <c r="R134" s="238"/>
      <c r="S134" s="238"/>
      <c r="T134" s="238"/>
      <c r="U134" s="238"/>
      <c r="V134" s="238"/>
      <c r="W134" s="238"/>
      <c r="X134" s="238"/>
      <c r="Y134" s="238"/>
      <c r="Z134" s="238"/>
    </row>
    <row r="135" ht="15.75" customHeight="1">
      <c r="C135" s="56">
        <v>110.0</v>
      </c>
      <c r="D135" s="56">
        <v>100.0</v>
      </c>
      <c r="E135" s="56">
        <v>90.0</v>
      </c>
      <c r="F135" s="238"/>
      <c r="G135" s="238"/>
      <c r="H135" s="238"/>
      <c r="I135" s="238"/>
      <c r="J135" s="238"/>
      <c r="K135" s="238"/>
      <c r="L135" s="238"/>
      <c r="M135" s="238"/>
      <c r="N135" s="238"/>
      <c r="O135" s="238"/>
      <c r="P135" s="238"/>
      <c r="Q135" s="238"/>
      <c r="R135" s="238"/>
      <c r="S135" s="238"/>
      <c r="T135" s="238"/>
      <c r="U135" s="238"/>
      <c r="V135" s="238"/>
      <c r="W135" s="238"/>
      <c r="X135" s="238"/>
      <c r="Y135" s="238"/>
      <c r="Z135" s="238"/>
    </row>
    <row r="136" ht="15.75" customHeight="1">
      <c r="C136" s="56">
        <v>110.0</v>
      </c>
      <c r="D136" s="56">
        <v>100.0</v>
      </c>
      <c r="E136" s="56">
        <v>90.0</v>
      </c>
      <c r="F136" s="238"/>
      <c r="G136" s="238"/>
      <c r="H136" s="238"/>
      <c r="I136" s="238"/>
      <c r="J136" s="238"/>
      <c r="K136" s="238"/>
      <c r="L136" s="238"/>
      <c r="M136" s="238"/>
      <c r="N136" s="238"/>
      <c r="O136" s="238"/>
      <c r="P136" s="238"/>
      <c r="Q136" s="238"/>
      <c r="R136" s="238"/>
      <c r="S136" s="238"/>
      <c r="T136" s="238"/>
      <c r="U136" s="238"/>
      <c r="V136" s="238"/>
      <c r="W136" s="238"/>
      <c r="X136" s="238"/>
      <c r="Y136" s="238"/>
      <c r="Z136" s="238"/>
    </row>
    <row r="137" ht="15.75" customHeight="1">
      <c r="C137" s="56">
        <v>110.0</v>
      </c>
      <c r="D137" s="56">
        <v>100.0</v>
      </c>
      <c r="E137" s="56">
        <v>90.0</v>
      </c>
      <c r="F137" s="238"/>
      <c r="G137" s="238"/>
      <c r="H137" s="238"/>
      <c r="I137" s="238"/>
      <c r="J137" s="238"/>
      <c r="K137" s="238"/>
      <c r="L137" s="238"/>
      <c r="M137" s="238"/>
      <c r="N137" s="238"/>
      <c r="O137" s="238"/>
      <c r="P137" s="238"/>
      <c r="Q137" s="238"/>
      <c r="R137" s="238"/>
      <c r="S137" s="238"/>
      <c r="T137" s="238"/>
      <c r="U137" s="238"/>
      <c r="V137" s="238"/>
      <c r="W137" s="238"/>
      <c r="X137" s="238"/>
      <c r="Y137" s="238"/>
      <c r="Z137" s="238"/>
    </row>
    <row r="138" ht="15.75" customHeight="1">
      <c r="C138" s="56">
        <v>110.0</v>
      </c>
      <c r="D138" s="56">
        <v>100.0</v>
      </c>
      <c r="E138" s="56">
        <v>90.0</v>
      </c>
      <c r="F138" s="238"/>
      <c r="G138" s="238"/>
      <c r="H138" s="238"/>
      <c r="I138" s="238"/>
      <c r="J138" s="238"/>
      <c r="K138" s="238"/>
      <c r="L138" s="238"/>
      <c r="M138" s="238"/>
      <c r="N138" s="238"/>
      <c r="O138" s="238"/>
      <c r="P138" s="238"/>
      <c r="Q138" s="238"/>
      <c r="R138" s="238"/>
      <c r="S138" s="238"/>
      <c r="T138" s="238"/>
      <c r="U138" s="238"/>
      <c r="V138" s="238"/>
      <c r="W138" s="238"/>
    </row>
    <row r="139" ht="15.75" customHeight="1">
      <c r="C139" s="56">
        <v>110.0</v>
      </c>
      <c r="D139" s="56">
        <v>100.0</v>
      </c>
      <c r="E139" s="56">
        <v>90.0</v>
      </c>
      <c r="F139" s="238"/>
      <c r="G139" s="238"/>
      <c r="H139" s="238"/>
      <c r="I139" s="238"/>
      <c r="J139" s="238"/>
      <c r="K139" s="238"/>
      <c r="L139" s="238"/>
      <c r="M139" s="238"/>
      <c r="N139" s="238"/>
      <c r="O139" s="238"/>
      <c r="P139" s="238"/>
      <c r="Q139" s="238"/>
      <c r="R139" s="238"/>
      <c r="S139" s="238"/>
      <c r="T139" s="238"/>
      <c r="U139" s="238"/>
      <c r="V139" s="238"/>
      <c r="W139" s="238"/>
    </row>
    <row r="140" ht="15.75" customHeight="1">
      <c r="C140" s="56">
        <v>110.0</v>
      </c>
      <c r="D140" s="56">
        <v>100.0</v>
      </c>
      <c r="E140" s="56">
        <v>90.0</v>
      </c>
      <c r="F140" s="238"/>
      <c r="G140" s="238"/>
      <c r="H140" s="238"/>
      <c r="I140" s="238"/>
      <c r="J140" s="238"/>
      <c r="K140" s="238"/>
      <c r="L140" s="238"/>
      <c r="M140" s="238"/>
      <c r="N140" s="238"/>
      <c r="O140" s="238"/>
      <c r="P140" s="238"/>
      <c r="Q140" s="238"/>
      <c r="R140" s="238"/>
      <c r="S140" s="238"/>
      <c r="T140" s="238"/>
      <c r="U140" s="238"/>
      <c r="V140" s="238"/>
      <c r="W140" s="238"/>
    </row>
    <row r="141" ht="15.75" customHeight="1">
      <c r="C141" s="56">
        <v>110.0</v>
      </c>
      <c r="D141" s="56">
        <v>100.0</v>
      </c>
      <c r="E141" s="56">
        <v>90.0</v>
      </c>
      <c r="F141" s="238"/>
      <c r="G141" s="238"/>
      <c r="H141" s="238"/>
      <c r="I141" s="238"/>
      <c r="J141" s="238"/>
      <c r="K141" s="238"/>
      <c r="L141" s="238"/>
      <c r="M141" s="238"/>
      <c r="N141" s="238"/>
      <c r="O141" s="238"/>
      <c r="P141" s="238"/>
      <c r="Q141" s="238"/>
      <c r="R141" s="238"/>
      <c r="S141" s="238"/>
      <c r="T141" s="238"/>
      <c r="U141" s="238"/>
      <c r="V141" s="238"/>
      <c r="W141" s="238"/>
    </row>
    <row r="142" ht="15.75" customHeight="1">
      <c r="C142" s="56">
        <v>110.0</v>
      </c>
      <c r="D142" s="56">
        <v>100.0</v>
      </c>
      <c r="E142" s="56">
        <v>90.0</v>
      </c>
      <c r="F142" s="238"/>
      <c r="G142" s="238"/>
      <c r="H142" s="238"/>
      <c r="I142" s="238"/>
      <c r="J142" s="238"/>
      <c r="K142" s="238"/>
      <c r="L142" s="238"/>
      <c r="M142" s="238"/>
      <c r="N142" s="238"/>
      <c r="O142" s="238"/>
      <c r="P142" s="238"/>
      <c r="Q142" s="238"/>
      <c r="R142" s="238"/>
      <c r="S142" s="238"/>
      <c r="T142" s="238"/>
      <c r="U142" s="238"/>
      <c r="V142" s="238"/>
      <c r="W142" s="238"/>
    </row>
    <row r="143" ht="15.75" customHeight="1">
      <c r="C143" s="56">
        <v>110.0</v>
      </c>
      <c r="D143" s="56">
        <v>100.0</v>
      </c>
      <c r="E143" s="56">
        <v>90.0</v>
      </c>
      <c r="F143" s="238"/>
      <c r="G143" s="238"/>
      <c r="H143" s="238"/>
      <c r="I143" s="238"/>
      <c r="J143" s="238"/>
      <c r="K143" s="238"/>
      <c r="L143" s="238"/>
      <c r="M143" s="238"/>
      <c r="N143" s="238"/>
      <c r="O143" s="238"/>
      <c r="P143" s="238"/>
      <c r="Q143" s="238"/>
      <c r="R143" s="238"/>
      <c r="S143" s="238"/>
      <c r="T143" s="238"/>
      <c r="U143" s="238"/>
      <c r="V143" s="238"/>
      <c r="W143" s="238"/>
    </row>
    <row r="144" ht="15.75" customHeight="1">
      <c r="C144" s="56">
        <v>110.0</v>
      </c>
      <c r="D144" s="56">
        <v>100.0</v>
      </c>
      <c r="E144" s="56">
        <v>90.0</v>
      </c>
      <c r="F144" s="238"/>
      <c r="G144" s="238"/>
      <c r="H144" s="238"/>
      <c r="I144" s="238"/>
      <c r="J144" s="238"/>
      <c r="K144" s="238"/>
      <c r="L144" s="238"/>
      <c r="M144" s="238"/>
      <c r="N144" s="238"/>
      <c r="O144" s="238"/>
      <c r="P144" s="238"/>
      <c r="Q144" s="238"/>
      <c r="R144" s="238"/>
      <c r="S144" s="238"/>
      <c r="T144" s="238"/>
      <c r="U144" s="238"/>
      <c r="V144" s="238"/>
      <c r="W144" s="238"/>
    </row>
    <row r="145" ht="15.75" customHeight="1">
      <c r="C145" s="56">
        <v>110.0</v>
      </c>
      <c r="D145" s="56">
        <v>100.0</v>
      </c>
      <c r="E145" s="56">
        <v>90.0</v>
      </c>
      <c r="F145" s="238"/>
      <c r="G145" s="238"/>
      <c r="H145" s="238"/>
      <c r="I145" s="238"/>
      <c r="J145" s="238"/>
      <c r="K145" s="238"/>
      <c r="L145" s="238"/>
      <c r="M145" s="238"/>
      <c r="N145" s="238"/>
      <c r="O145" s="238"/>
      <c r="P145" s="238"/>
      <c r="Q145" s="238"/>
      <c r="R145" s="238"/>
      <c r="S145" s="238"/>
      <c r="T145" s="238"/>
      <c r="U145" s="238"/>
      <c r="V145" s="238"/>
      <c r="W145" s="238"/>
    </row>
    <row r="146" ht="15.75" customHeight="1">
      <c r="C146" s="56">
        <v>110.0</v>
      </c>
      <c r="D146" s="56">
        <v>100.0</v>
      </c>
      <c r="E146" s="56">
        <v>90.0</v>
      </c>
      <c r="F146" s="238"/>
      <c r="G146" s="238"/>
      <c r="H146" s="238"/>
      <c r="I146" s="238"/>
      <c r="J146" s="238"/>
      <c r="K146" s="238"/>
      <c r="L146" s="238"/>
      <c r="M146" s="238"/>
      <c r="N146" s="238"/>
      <c r="O146" s="238"/>
      <c r="P146" s="238"/>
      <c r="Q146" s="238"/>
      <c r="R146" s="238"/>
      <c r="S146" s="238"/>
      <c r="T146" s="238"/>
      <c r="U146" s="238"/>
      <c r="V146" s="238"/>
      <c r="W146" s="238"/>
    </row>
    <row r="147" ht="15.75" customHeight="1">
      <c r="C147" s="56">
        <v>110.0</v>
      </c>
      <c r="D147" s="56">
        <v>100.0</v>
      </c>
      <c r="E147" s="56">
        <v>90.0</v>
      </c>
      <c r="F147" s="238"/>
      <c r="G147" s="238"/>
      <c r="H147" s="238"/>
      <c r="I147" s="238"/>
      <c r="J147" s="238"/>
      <c r="K147" s="238"/>
      <c r="L147" s="238"/>
      <c r="M147" s="238"/>
      <c r="N147" s="238"/>
      <c r="O147" s="238"/>
      <c r="P147" s="238"/>
      <c r="Q147" s="238"/>
      <c r="R147" s="238"/>
      <c r="S147" s="238"/>
      <c r="T147" s="238"/>
      <c r="U147" s="238"/>
      <c r="V147" s="238"/>
      <c r="W147" s="238"/>
    </row>
    <row r="148" ht="15.75" customHeight="1">
      <c r="C148" s="56">
        <v>110.0</v>
      </c>
      <c r="D148" s="56">
        <v>100.0</v>
      </c>
      <c r="E148" s="56">
        <v>90.0</v>
      </c>
      <c r="F148" s="238"/>
      <c r="G148" s="238"/>
      <c r="H148" s="238"/>
      <c r="I148" s="238"/>
      <c r="J148" s="238"/>
      <c r="K148" s="238"/>
      <c r="L148" s="238"/>
      <c r="M148" s="238"/>
      <c r="N148" s="238"/>
      <c r="O148" s="238"/>
      <c r="P148" s="238"/>
      <c r="Q148" s="238"/>
      <c r="R148" s="238"/>
      <c r="S148" s="238"/>
      <c r="T148" s="238"/>
      <c r="U148" s="238"/>
      <c r="V148" s="238"/>
      <c r="W148" s="238"/>
    </row>
    <row r="149" ht="15.75" customHeight="1">
      <c r="C149" s="56">
        <v>110.0</v>
      </c>
      <c r="D149" s="56">
        <v>100.0</v>
      </c>
      <c r="E149" s="56">
        <v>90.0</v>
      </c>
      <c r="F149" s="238"/>
      <c r="G149" s="238"/>
      <c r="H149" s="238"/>
      <c r="I149" s="238"/>
      <c r="J149" s="238"/>
      <c r="K149" s="238"/>
      <c r="L149" s="238"/>
      <c r="M149" s="238"/>
      <c r="N149" s="238"/>
      <c r="O149" s="238"/>
      <c r="P149" s="238"/>
      <c r="Q149" s="238"/>
      <c r="R149" s="238"/>
      <c r="S149" s="238"/>
      <c r="T149" s="238"/>
      <c r="U149" s="238"/>
      <c r="V149" s="238"/>
      <c r="W149" s="238"/>
    </row>
    <row r="150" ht="15.75" customHeight="1">
      <c r="C150" s="56">
        <v>110.0</v>
      </c>
      <c r="D150" s="56">
        <v>100.0</v>
      </c>
      <c r="E150" s="56">
        <v>90.0</v>
      </c>
      <c r="F150" s="238"/>
      <c r="G150" s="238"/>
      <c r="H150" s="238"/>
      <c r="I150" s="238"/>
      <c r="J150" s="238"/>
      <c r="K150" s="238"/>
      <c r="L150" s="238"/>
      <c r="M150" s="238"/>
      <c r="N150" s="238"/>
      <c r="O150" s="238"/>
      <c r="P150" s="238"/>
      <c r="Q150" s="238"/>
      <c r="R150" s="238"/>
      <c r="S150" s="238"/>
      <c r="T150" s="238"/>
      <c r="U150" s="238"/>
      <c r="V150" s="238"/>
      <c r="W150" s="238"/>
    </row>
    <row r="151" ht="15.75" customHeight="1">
      <c r="C151" s="56">
        <v>110.0</v>
      </c>
      <c r="D151" s="56">
        <v>100.0</v>
      </c>
      <c r="E151" s="56">
        <v>90.0</v>
      </c>
      <c r="F151" s="238"/>
      <c r="G151" s="238"/>
      <c r="H151" s="238"/>
      <c r="I151" s="238"/>
      <c r="J151" s="238"/>
      <c r="K151" s="238"/>
      <c r="L151" s="238"/>
      <c r="M151" s="238"/>
      <c r="N151" s="238"/>
      <c r="O151" s="238"/>
      <c r="P151" s="238"/>
      <c r="Q151" s="238"/>
      <c r="R151" s="238"/>
      <c r="S151" s="238"/>
      <c r="T151" s="238"/>
      <c r="U151" s="238"/>
      <c r="V151" s="238"/>
      <c r="W151" s="238"/>
    </row>
    <row r="152" ht="15.75" customHeight="1">
      <c r="C152" s="56">
        <v>110.0</v>
      </c>
      <c r="D152" s="56">
        <v>100.0</v>
      </c>
      <c r="E152" s="56">
        <v>90.0</v>
      </c>
      <c r="F152" s="238"/>
      <c r="G152" s="238"/>
      <c r="H152" s="238"/>
      <c r="I152" s="238"/>
      <c r="J152" s="238"/>
      <c r="K152" s="238"/>
      <c r="L152" s="238"/>
      <c r="M152" s="238"/>
      <c r="N152" s="238"/>
      <c r="O152" s="238"/>
      <c r="P152" s="238"/>
      <c r="Q152" s="238"/>
      <c r="R152" s="238"/>
      <c r="S152" s="238"/>
      <c r="T152" s="238"/>
      <c r="U152" s="238"/>
      <c r="V152" s="238"/>
      <c r="W152" s="238"/>
    </row>
    <row r="153" ht="15.75" customHeight="1">
      <c r="C153" s="56">
        <v>110.0</v>
      </c>
      <c r="D153" s="56">
        <v>100.0</v>
      </c>
      <c r="E153" s="56">
        <v>90.0</v>
      </c>
      <c r="F153" s="238"/>
      <c r="G153" s="238"/>
      <c r="H153" s="238"/>
      <c r="I153" s="238"/>
      <c r="J153" s="238"/>
      <c r="K153" s="238"/>
      <c r="L153" s="238"/>
      <c r="M153" s="238"/>
      <c r="N153" s="238"/>
      <c r="O153" s="238"/>
      <c r="P153" s="238"/>
      <c r="Q153" s="238"/>
      <c r="R153" s="238"/>
      <c r="S153" s="238"/>
      <c r="T153" s="238"/>
      <c r="U153" s="238"/>
      <c r="V153" s="238"/>
      <c r="W153" s="238"/>
    </row>
    <row r="154" ht="15.75" customHeight="1">
      <c r="C154" s="56">
        <v>110.0</v>
      </c>
      <c r="D154" s="56">
        <v>100.0</v>
      </c>
      <c r="E154" s="56">
        <v>90.0</v>
      </c>
      <c r="F154" s="238"/>
      <c r="G154" s="238"/>
      <c r="H154" s="238"/>
      <c r="I154" s="238"/>
      <c r="J154" s="238"/>
      <c r="K154" s="238"/>
      <c r="L154" s="238"/>
      <c r="M154" s="238"/>
      <c r="N154" s="238"/>
      <c r="O154" s="238"/>
      <c r="P154" s="238"/>
      <c r="Q154" s="238"/>
      <c r="R154" s="238"/>
      <c r="S154" s="238"/>
      <c r="T154" s="238"/>
      <c r="U154" s="238"/>
      <c r="V154" s="238"/>
      <c r="W154" s="238"/>
    </row>
    <row r="155" ht="15.75" customHeight="1">
      <c r="C155" s="56">
        <v>110.0</v>
      </c>
      <c r="D155" s="56">
        <v>100.0</v>
      </c>
      <c r="E155" s="56">
        <v>90.0</v>
      </c>
      <c r="F155" s="238"/>
      <c r="G155" s="238"/>
      <c r="H155" s="238"/>
      <c r="I155" s="238"/>
      <c r="J155" s="238"/>
      <c r="K155" s="238"/>
      <c r="L155" s="238"/>
      <c r="M155" s="238"/>
      <c r="N155" s="238"/>
      <c r="O155" s="238"/>
      <c r="P155" s="238"/>
      <c r="Q155" s="238"/>
      <c r="R155" s="238"/>
      <c r="S155" s="238"/>
      <c r="T155" s="238"/>
      <c r="U155" s="238"/>
      <c r="V155" s="238"/>
      <c r="W155" s="238"/>
      <c r="X155" s="238"/>
      <c r="Y155" s="238"/>
      <c r="Z155" s="238"/>
    </row>
    <row r="156" ht="15.75" customHeight="1">
      <c r="C156" s="56">
        <v>110.0</v>
      </c>
      <c r="D156" s="56">
        <v>100.0</v>
      </c>
      <c r="E156" s="56">
        <v>90.0</v>
      </c>
      <c r="F156" s="238"/>
      <c r="G156" s="238"/>
      <c r="H156" s="238"/>
      <c r="I156" s="238"/>
      <c r="J156" s="238"/>
      <c r="K156" s="238"/>
      <c r="L156" s="238"/>
      <c r="M156" s="238"/>
      <c r="N156" s="238"/>
      <c r="O156" s="238"/>
      <c r="P156" s="238"/>
      <c r="Q156" s="238"/>
      <c r="R156" s="238"/>
      <c r="S156" s="238"/>
      <c r="T156" s="238"/>
      <c r="U156" s="238"/>
      <c r="V156" s="238"/>
      <c r="W156" s="238"/>
      <c r="X156" s="238"/>
      <c r="Y156" s="238"/>
      <c r="Z156" s="238"/>
    </row>
    <row r="157" ht="15.75" customHeight="1">
      <c r="C157" s="56">
        <v>110.0</v>
      </c>
      <c r="D157" s="56">
        <v>100.0</v>
      </c>
      <c r="E157" s="56">
        <v>90.0</v>
      </c>
      <c r="F157" s="238"/>
      <c r="G157" s="238"/>
      <c r="H157" s="238"/>
      <c r="I157" s="238"/>
      <c r="J157" s="238"/>
      <c r="K157" s="238"/>
      <c r="L157" s="238"/>
      <c r="M157" s="238"/>
      <c r="N157" s="238"/>
      <c r="O157" s="238"/>
      <c r="P157" s="238"/>
      <c r="Q157" s="238"/>
      <c r="R157" s="238"/>
      <c r="S157" s="238"/>
      <c r="T157" s="238"/>
      <c r="U157" s="238"/>
      <c r="V157" s="238"/>
      <c r="W157" s="238"/>
      <c r="X157" s="238"/>
      <c r="Y157" s="238"/>
      <c r="Z157" s="238"/>
    </row>
    <row r="158" ht="15.75" customHeight="1">
      <c r="C158" s="56">
        <v>110.0</v>
      </c>
      <c r="D158" s="56">
        <v>100.0</v>
      </c>
      <c r="E158" s="56">
        <v>90.0</v>
      </c>
      <c r="F158" s="238"/>
      <c r="G158" s="238"/>
      <c r="H158" s="238"/>
      <c r="I158" s="238"/>
      <c r="J158" s="238"/>
      <c r="K158" s="238"/>
      <c r="L158" s="238"/>
      <c r="M158" s="238"/>
      <c r="N158" s="238"/>
      <c r="O158" s="238"/>
      <c r="P158" s="238"/>
      <c r="Q158" s="238"/>
      <c r="R158" s="238"/>
      <c r="S158" s="238"/>
      <c r="T158" s="238"/>
      <c r="U158" s="238"/>
      <c r="V158" s="238"/>
      <c r="W158" s="238"/>
      <c r="X158" s="238"/>
      <c r="Y158" s="238"/>
      <c r="Z158" s="238"/>
    </row>
    <row r="159" ht="15.75" customHeight="1">
      <c r="A159" s="238"/>
      <c r="B159" s="238"/>
      <c r="C159" s="238"/>
      <c r="D159" s="238"/>
      <c r="E159" s="238"/>
      <c r="F159" s="238"/>
      <c r="G159" s="238"/>
      <c r="H159" s="238"/>
      <c r="I159" s="238"/>
      <c r="J159" s="238"/>
      <c r="K159" s="238"/>
      <c r="L159" s="238"/>
      <c r="M159" s="238"/>
      <c r="N159" s="238"/>
      <c r="O159" s="238"/>
      <c r="P159" s="238"/>
      <c r="Q159" s="238"/>
      <c r="R159" s="238"/>
      <c r="S159" s="238"/>
      <c r="T159" s="238"/>
      <c r="U159" s="238"/>
      <c r="V159" s="238"/>
      <c r="W159" s="238"/>
      <c r="X159" s="238"/>
      <c r="Y159" s="238"/>
      <c r="Z159" s="238"/>
    </row>
    <row r="160" ht="15.75" customHeight="1">
      <c r="A160" s="238"/>
      <c r="B160" s="238"/>
      <c r="C160" s="238"/>
      <c r="D160" s="238"/>
      <c r="E160" s="238"/>
      <c r="F160" s="238"/>
      <c r="G160" s="238"/>
      <c r="H160" s="238"/>
      <c r="I160" s="238"/>
      <c r="J160" s="238"/>
      <c r="K160" s="238"/>
      <c r="L160" s="238"/>
      <c r="M160" s="238"/>
      <c r="N160" s="238"/>
      <c r="O160" s="238"/>
      <c r="P160" s="238"/>
      <c r="Q160" s="238"/>
      <c r="R160" s="238"/>
      <c r="S160" s="238"/>
      <c r="T160" s="238"/>
      <c r="U160" s="238"/>
      <c r="V160" s="238"/>
      <c r="W160" s="238"/>
      <c r="X160" s="238"/>
      <c r="Y160" s="238"/>
      <c r="Z160" s="238"/>
    </row>
    <row r="161" ht="15.75" customHeight="1">
      <c r="A161" s="238"/>
      <c r="B161" s="238"/>
      <c r="C161" s="238"/>
      <c r="D161" s="238"/>
      <c r="E161" s="238"/>
      <c r="F161" s="238"/>
      <c r="G161" s="238"/>
      <c r="H161" s="238"/>
      <c r="I161" s="238"/>
      <c r="J161" s="238"/>
      <c r="K161" s="238"/>
      <c r="L161" s="238"/>
      <c r="M161" s="238"/>
      <c r="N161" s="238"/>
      <c r="O161" s="238"/>
      <c r="P161" s="238"/>
      <c r="Q161" s="238"/>
      <c r="R161" s="238"/>
      <c r="S161" s="238"/>
      <c r="T161" s="238"/>
      <c r="U161" s="238"/>
      <c r="V161" s="238"/>
      <c r="W161" s="238"/>
      <c r="X161" s="238"/>
      <c r="Y161" s="238"/>
      <c r="Z161" s="238"/>
    </row>
    <row r="162" ht="15.75" customHeight="1">
      <c r="A162" s="238"/>
      <c r="B162" s="238"/>
      <c r="C162" s="238"/>
      <c r="D162" s="238"/>
      <c r="E162" s="238"/>
      <c r="F162" s="238"/>
      <c r="G162" s="238"/>
      <c r="H162" s="238"/>
      <c r="I162" s="238"/>
      <c r="J162" s="238"/>
      <c r="K162" s="238"/>
      <c r="L162" s="238"/>
      <c r="M162" s="238"/>
      <c r="N162" s="238"/>
      <c r="O162" s="238"/>
      <c r="P162" s="238"/>
      <c r="Q162" s="238"/>
      <c r="R162" s="238"/>
      <c r="S162" s="238"/>
      <c r="T162" s="238"/>
      <c r="U162" s="238"/>
      <c r="V162" s="238"/>
      <c r="W162" s="238"/>
      <c r="X162" s="238"/>
      <c r="Y162" s="238"/>
      <c r="Z162" s="238"/>
    </row>
    <row r="163" ht="15.75" customHeight="1">
      <c r="A163" s="238"/>
      <c r="B163" s="238"/>
      <c r="C163" s="238"/>
      <c r="D163" s="238"/>
      <c r="E163" s="238"/>
      <c r="F163" s="238"/>
      <c r="G163" s="238"/>
      <c r="H163" s="238"/>
      <c r="I163" s="238"/>
      <c r="J163" s="238"/>
      <c r="K163" s="238"/>
      <c r="L163" s="238"/>
      <c r="M163" s="238"/>
      <c r="N163" s="238"/>
      <c r="O163" s="238"/>
      <c r="P163" s="238"/>
      <c r="Q163" s="238"/>
      <c r="R163" s="238"/>
      <c r="S163" s="238"/>
      <c r="T163" s="238"/>
      <c r="U163" s="238"/>
      <c r="V163" s="238"/>
      <c r="W163" s="238"/>
      <c r="X163" s="238"/>
      <c r="Y163" s="238"/>
      <c r="Z163" s="238"/>
    </row>
    <row r="164" ht="15.75" customHeight="1">
      <c r="A164" s="238"/>
      <c r="B164" s="238"/>
      <c r="C164" s="238"/>
      <c r="D164" s="238"/>
      <c r="E164" s="238"/>
      <c r="F164" s="238"/>
      <c r="G164" s="238"/>
      <c r="H164" s="238"/>
      <c r="I164" s="238"/>
      <c r="J164" s="238"/>
      <c r="K164" s="238"/>
      <c r="L164" s="238"/>
      <c r="M164" s="238"/>
      <c r="N164" s="238"/>
      <c r="O164" s="238"/>
      <c r="P164" s="238"/>
      <c r="Q164" s="238"/>
      <c r="R164" s="238"/>
      <c r="S164" s="238"/>
      <c r="T164" s="238"/>
      <c r="U164" s="238"/>
      <c r="V164" s="238"/>
      <c r="W164" s="238"/>
      <c r="X164" s="238"/>
      <c r="Y164" s="238"/>
      <c r="Z164" s="238"/>
    </row>
    <row r="165" ht="15.75" customHeight="1">
      <c r="A165" s="238"/>
      <c r="B165" s="238"/>
      <c r="C165" s="238"/>
      <c r="D165" s="238"/>
      <c r="E165" s="238"/>
      <c r="F165" s="238"/>
      <c r="G165" s="238"/>
      <c r="H165" s="238"/>
      <c r="I165" s="238"/>
      <c r="J165" s="238"/>
      <c r="K165" s="238"/>
      <c r="L165" s="238"/>
      <c r="M165" s="238"/>
      <c r="N165" s="238"/>
      <c r="O165" s="238"/>
      <c r="P165" s="238"/>
      <c r="Q165" s="238"/>
      <c r="R165" s="238"/>
      <c r="S165" s="238"/>
      <c r="T165" s="238"/>
      <c r="U165" s="238"/>
      <c r="V165" s="238"/>
      <c r="W165" s="238"/>
      <c r="X165" s="238"/>
      <c r="Y165" s="238"/>
      <c r="Z165" s="238"/>
    </row>
    <row r="166" ht="15.75" customHeight="1">
      <c r="A166" s="238"/>
      <c r="B166" s="238"/>
      <c r="C166" s="238"/>
      <c r="D166" s="238"/>
      <c r="E166" s="238"/>
      <c r="F166" s="238"/>
      <c r="G166" s="238"/>
      <c r="H166" s="238"/>
      <c r="I166" s="238"/>
      <c r="J166" s="238"/>
      <c r="K166" s="238"/>
      <c r="L166" s="238"/>
      <c r="M166" s="238"/>
      <c r="N166" s="238"/>
      <c r="O166" s="238"/>
      <c r="P166" s="238"/>
      <c r="Q166" s="238"/>
      <c r="R166" s="238"/>
      <c r="S166" s="238"/>
      <c r="T166" s="238"/>
      <c r="U166" s="238"/>
      <c r="V166" s="238"/>
      <c r="W166" s="238"/>
      <c r="X166" s="238"/>
      <c r="Y166" s="238"/>
      <c r="Z166" s="238"/>
    </row>
    <row r="167" ht="15.75" customHeight="1">
      <c r="A167" s="238"/>
      <c r="B167" s="238"/>
      <c r="C167" s="238"/>
      <c r="D167" s="238"/>
      <c r="E167" s="238"/>
      <c r="F167" s="238"/>
      <c r="G167" s="238"/>
      <c r="H167" s="238"/>
      <c r="I167" s="238"/>
      <c r="J167" s="238"/>
      <c r="K167" s="238"/>
      <c r="L167" s="238"/>
      <c r="M167" s="238"/>
      <c r="N167" s="238"/>
      <c r="O167" s="238"/>
      <c r="P167" s="238"/>
      <c r="Q167" s="238"/>
      <c r="R167" s="238"/>
      <c r="S167" s="238"/>
      <c r="T167" s="238"/>
      <c r="U167" s="238"/>
      <c r="V167" s="238"/>
      <c r="W167" s="238"/>
      <c r="X167" s="238"/>
      <c r="Y167" s="238"/>
      <c r="Z167" s="238"/>
    </row>
    <row r="168" ht="15.75" customHeight="1">
      <c r="A168" s="238"/>
      <c r="B168" s="238"/>
      <c r="C168" s="238"/>
      <c r="D168" s="238"/>
      <c r="E168" s="238"/>
      <c r="F168" s="238"/>
      <c r="G168" s="238"/>
      <c r="H168" s="238"/>
      <c r="I168" s="238"/>
      <c r="J168" s="238"/>
      <c r="K168" s="238"/>
      <c r="L168" s="238"/>
      <c r="M168" s="238"/>
      <c r="N168" s="238"/>
      <c r="O168" s="238"/>
      <c r="P168" s="238"/>
      <c r="Q168" s="238"/>
      <c r="R168" s="238"/>
      <c r="S168" s="238"/>
      <c r="T168" s="238"/>
      <c r="U168" s="238"/>
      <c r="V168" s="238"/>
      <c r="W168" s="238"/>
      <c r="X168" s="238"/>
      <c r="Y168" s="238"/>
      <c r="Z168" s="238"/>
    </row>
    <row r="169" ht="15.75" customHeight="1">
      <c r="A169" s="238"/>
      <c r="B169" s="238"/>
      <c r="C169" s="238"/>
      <c r="D169" s="238"/>
      <c r="E169" s="238"/>
      <c r="F169" s="238"/>
      <c r="G169" s="238"/>
      <c r="H169" s="238"/>
      <c r="I169" s="238"/>
      <c r="J169" s="238"/>
      <c r="K169" s="238"/>
      <c r="L169" s="238"/>
      <c r="M169" s="238"/>
      <c r="N169" s="238"/>
      <c r="O169" s="238"/>
      <c r="P169" s="238"/>
      <c r="Q169" s="238"/>
      <c r="R169" s="238"/>
      <c r="S169" s="238"/>
      <c r="T169" s="238"/>
      <c r="U169" s="238"/>
      <c r="V169" s="238"/>
      <c r="W169" s="238"/>
      <c r="X169" s="238"/>
      <c r="Y169" s="238"/>
      <c r="Z169" s="238"/>
    </row>
    <row r="170" ht="15.75" customHeight="1">
      <c r="A170" s="238"/>
      <c r="B170" s="238"/>
      <c r="C170" s="238"/>
      <c r="D170" s="238"/>
      <c r="E170" s="238"/>
      <c r="F170" s="238"/>
      <c r="G170" s="238"/>
      <c r="H170" s="238"/>
      <c r="I170" s="238"/>
      <c r="J170" s="238"/>
      <c r="K170" s="238"/>
      <c r="L170" s="238"/>
      <c r="M170" s="238"/>
      <c r="N170" s="238"/>
      <c r="O170" s="238"/>
      <c r="P170" s="238"/>
      <c r="Q170" s="238"/>
      <c r="R170" s="238"/>
      <c r="S170" s="238"/>
      <c r="T170" s="238"/>
      <c r="U170" s="238"/>
      <c r="V170" s="238"/>
      <c r="W170" s="238"/>
      <c r="X170" s="238"/>
      <c r="Y170" s="238"/>
      <c r="Z170" s="238"/>
    </row>
    <row r="171" ht="15.75" customHeight="1">
      <c r="A171" s="238"/>
      <c r="B171" s="238"/>
      <c r="C171" s="238"/>
      <c r="D171" s="238"/>
      <c r="E171" s="238"/>
      <c r="F171" s="238"/>
      <c r="G171" s="238"/>
      <c r="H171" s="238"/>
      <c r="I171" s="238"/>
      <c r="J171" s="238"/>
      <c r="K171" s="238"/>
      <c r="L171" s="238"/>
      <c r="M171" s="238"/>
      <c r="N171" s="238"/>
      <c r="O171" s="238"/>
      <c r="P171" s="238"/>
      <c r="Q171" s="238"/>
      <c r="R171" s="238"/>
      <c r="S171" s="238"/>
      <c r="T171" s="238"/>
      <c r="U171" s="238"/>
      <c r="V171" s="238"/>
      <c r="W171" s="238"/>
      <c r="X171" s="238"/>
      <c r="Y171" s="238"/>
      <c r="Z171" s="238"/>
    </row>
    <row r="172" ht="15.75" customHeight="1">
      <c r="A172" s="238"/>
      <c r="B172" s="238"/>
      <c r="C172" s="238"/>
      <c r="D172" s="238"/>
      <c r="E172" s="238"/>
      <c r="F172" s="238"/>
      <c r="G172" s="238"/>
      <c r="H172" s="238"/>
      <c r="I172" s="238"/>
      <c r="J172" s="238"/>
      <c r="K172" s="238"/>
      <c r="L172" s="238"/>
      <c r="M172" s="238"/>
      <c r="N172" s="238"/>
      <c r="O172" s="238"/>
      <c r="P172" s="238"/>
      <c r="Q172" s="238"/>
      <c r="R172" s="238"/>
      <c r="S172" s="238"/>
      <c r="T172" s="238"/>
      <c r="U172" s="238"/>
      <c r="V172" s="238"/>
      <c r="W172" s="238"/>
      <c r="X172" s="238"/>
      <c r="Y172" s="238"/>
      <c r="Z172" s="238"/>
    </row>
    <row r="173" ht="15.75" customHeight="1">
      <c r="A173" s="238"/>
      <c r="B173" s="238"/>
      <c r="C173" s="238"/>
      <c r="D173" s="238"/>
      <c r="E173" s="238"/>
      <c r="F173" s="238"/>
      <c r="G173" s="238"/>
      <c r="H173" s="238"/>
      <c r="I173" s="238"/>
      <c r="J173" s="238"/>
      <c r="K173" s="238"/>
      <c r="L173" s="238"/>
      <c r="M173" s="238"/>
      <c r="N173" s="238"/>
      <c r="O173" s="238"/>
      <c r="P173" s="238"/>
      <c r="Q173" s="238"/>
      <c r="R173" s="238"/>
      <c r="S173" s="238"/>
      <c r="T173" s="238"/>
      <c r="U173" s="238"/>
      <c r="V173" s="238"/>
      <c r="W173" s="238"/>
      <c r="X173" s="238"/>
      <c r="Y173" s="238"/>
      <c r="Z173" s="238"/>
    </row>
    <row r="174" ht="15.75" customHeight="1">
      <c r="A174" s="238"/>
      <c r="B174" s="238"/>
      <c r="C174" s="238"/>
      <c r="D174" s="238"/>
      <c r="E174" s="238"/>
      <c r="F174" s="238"/>
      <c r="G174" s="238"/>
      <c r="H174" s="238"/>
      <c r="I174" s="238"/>
      <c r="J174" s="238"/>
      <c r="K174" s="238"/>
      <c r="L174" s="238"/>
      <c r="M174" s="238"/>
      <c r="N174" s="238"/>
      <c r="O174" s="238"/>
      <c r="P174" s="238"/>
      <c r="Q174" s="238"/>
      <c r="R174" s="238"/>
      <c r="S174" s="238"/>
      <c r="T174" s="238"/>
      <c r="U174" s="238"/>
      <c r="V174" s="238"/>
      <c r="W174" s="238"/>
      <c r="X174" s="238"/>
      <c r="Y174" s="238"/>
      <c r="Z174" s="238"/>
    </row>
    <row r="175" ht="15.75" customHeight="1">
      <c r="A175" s="238"/>
      <c r="B175" s="238"/>
      <c r="C175" s="238"/>
      <c r="D175" s="238"/>
      <c r="E175" s="238"/>
      <c r="F175" s="238"/>
      <c r="G175" s="238"/>
      <c r="H175" s="238"/>
      <c r="I175" s="238"/>
      <c r="J175" s="238"/>
      <c r="K175" s="238"/>
      <c r="L175" s="238"/>
      <c r="M175" s="238"/>
      <c r="N175" s="238"/>
      <c r="O175" s="238"/>
      <c r="P175" s="238"/>
      <c r="Q175" s="238"/>
      <c r="R175" s="238"/>
      <c r="S175" s="238"/>
      <c r="T175" s="238"/>
      <c r="U175" s="238"/>
      <c r="V175" s="238"/>
      <c r="W175" s="238"/>
      <c r="X175" s="238"/>
      <c r="Y175" s="238"/>
      <c r="Z175" s="238"/>
    </row>
    <row r="176" ht="15.75" customHeight="1">
      <c r="A176" s="238"/>
      <c r="B176" s="238"/>
      <c r="C176" s="238"/>
      <c r="D176" s="238"/>
      <c r="E176" s="238"/>
      <c r="F176" s="238"/>
      <c r="G176" s="238"/>
      <c r="H176" s="238"/>
      <c r="I176" s="238"/>
      <c r="J176" s="238"/>
      <c r="K176" s="238"/>
      <c r="L176" s="238"/>
      <c r="M176" s="238"/>
      <c r="N176" s="238"/>
      <c r="O176" s="238"/>
      <c r="P176" s="238"/>
      <c r="Q176" s="238"/>
      <c r="R176" s="238"/>
      <c r="S176" s="238"/>
      <c r="T176" s="238"/>
      <c r="U176" s="238"/>
      <c r="V176" s="238"/>
      <c r="W176" s="238"/>
      <c r="X176" s="238"/>
      <c r="Y176" s="238"/>
      <c r="Z176" s="238"/>
    </row>
    <row r="177" ht="15.75" customHeight="1">
      <c r="A177" s="238"/>
      <c r="B177" s="238"/>
      <c r="C177" s="238"/>
      <c r="D177" s="238"/>
      <c r="E177" s="238"/>
      <c r="F177" s="238"/>
      <c r="G177" s="238"/>
      <c r="H177" s="238"/>
      <c r="I177" s="238"/>
      <c r="J177" s="238"/>
      <c r="K177" s="238"/>
      <c r="L177" s="238"/>
      <c r="M177" s="238"/>
      <c r="N177" s="238"/>
      <c r="O177" s="238"/>
      <c r="P177" s="238"/>
      <c r="Q177" s="238"/>
      <c r="R177" s="238"/>
      <c r="S177" s="238"/>
      <c r="T177" s="238"/>
      <c r="U177" s="238"/>
      <c r="V177" s="238"/>
      <c r="W177" s="238"/>
      <c r="X177" s="238"/>
      <c r="Y177" s="238"/>
      <c r="Z177" s="238"/>
    </row>
    <row r="178" ht="15.75" customHeight="1">
      <c r="A178" s="238"/>
      <c r="B178" s="238"/>
      <c r="C178" s="238"/>
      <c r="D178" s="238"/>
      <c r="E178" s="238"/>
      <c r="F178" s="238"/>
      <c r="G178" s="238"/>
      <c r="H178" s="238"/>
      <c r="I178" s="238"/>
      <c r="J178" s="238"/>
      <c r="K178" s="238"/>
      <c r="L178" s="238"/>
      <c r="M178" s="238"/>
      <c r="N178" s="238"/>
      <c r="O178" s="238"/>
      <c r="P178" s="238"/>
      <c r="Q178" s="238"/>
      <c r="R178" s="238"/>
      <c r="S178" s="238"/>
      <c r="T178" s="238"/>
      <c r="U178" s="238"/>
      <c r="V178" s="238"/>
      <c r="W178" s="238"/>
      <c r="X178" s="238"/>
      <c r="Y178" s="238"/>
      <c r="Z178" s="238"/>
    </row>
    <row r="179" ht="15.75" customHeight="1">
      <c r="A179" s="238"/>
      <c r="B179" s="238"/>
      <c r="C179" s="238"/>
      <c r="D179" s="238"/>
      <c r="E179" s="238"/>
      <c r="F179" s="238"/>
      <c r="G179" s="238"/>
      <c r="H179" s="238"/>
      <c r="I179" s="238"/>
      <c r="J179" s="238"/>
      <c r="K179" s="238"/>
      <c r="L179" s="238"/>
      <c r="M179" s="238"/>
      <c r="N179" s="238"/>
      <c r="O179" s="238"/>
      <c r="P179" s="238"/>
      <c r="Q179" s="238"/>
      <c r="R179" s="238"/>
      <c r="S179" s="238"/>
      <c r="T179" s="238"/>
      <c r="U179" s="238"/>
      <c r="V179" s="238"/>
      <c r="W179" s="238"/>
      <c r="X179" s="238"/>
      <c r="Y179" s="238"/>
      <c r="Z179" s="238"/>
    </row>
    <row r="180" ht="15.75" customHeight="1">
      <c r="A180" s="238"/>
      <c r="B180" s="238"/>
      <c r="C180" s="238"/>
      <c r="D180" s="238"/>
      <c r="E180" s="238"/>
      <c r="F180" s="238"/>
      <c r="G180" s="238"/>
      <c r="H180" s="238"/>
      <c r="I180" s="238"/>
      <c r="J180" s="238"/>
      <c r="K180" s="238"/>
      <c r="L180" s="238"/>
      <c r="M180" s="238"/>
      <c r="N180" s="238"/>
      <c r="O180" s="238"/>
      <c r="P180" s="238"/>
      <c r="Q180" s="238"/>
      <c r="R180" s="238"/>
      <c r="S180" s="238"/>
      <c r="T180" s="238"/>
      <c r="U180" s="238"/>
      <c r="V180" s="238"/>
      <c r="W180" s="238"/>
      <c r="X180" s="238"/>
      <c r="Y180" s="238"/>
      <c r="Z180" s="238"/>
    </row>
    <row r="181" ht="15.75" customHeight="1">
      <c r="A181" s="238"/>
      <c r="B181" s="238"/>
      <c r="C181" s="238"/>
      <c r="D181" s="238"/>
      <c r="E181" s="238"/>
      <c r="F181" s="238"/>
      <c r="G181" s="238"/>
      <c r="H181" s="238"/>
      <c r="I181" s="238"/>
      <c r="J181" s="238"/>
      <c r="K181" s="238"/>
      <c r="L181" s="238"/>
      <c r="M181" s="238"/>
      <c r="N181" s="238"/>
      <c r="O181" s="238"/>
      <c r="P181" s="238"/>
      <c r="Q181" s="238"/>
      <c r="R181" s="238"/>
      <c r="S181" s="238"/>
      <c r="T181" s="238"/>
      <c r="U181" s="238"/>
      <c r="V181" s="238"/>
      <c r="W181" s="238"/>
      <c r="X181" s="238"/>
      <c r="Y181" s="238"/>
      <c r="Z181" s="238"/>
    </row>
    <row r="182" ht="15.75" customHeight="1">
      <c r="A182" s="238"/>
      <c r="B182" s="238"/>
      <c r="C182" s="238"/>
      <c r="D182" s="238"/>
      <c r="E182" s="238"/>
      <c r="F182" s="238"/>
      <c r="G182" s="238"/>
      <c r="H182" s="238"/>
      <c r="I182" s="238"/>
      <c r="J182" s="238"/>
      <c r="K182" s="238"/>
      <c r="L182" s="238"/>
      <c r="M182" s="238"/>
      <c r="N182" s="238"/>
      <c r="O182" s="238"/>
      <c r="P182" s="238"/>
      <c r="Q182" s="238"/>
      <c r="R182" s="238"/>
      <c r="S182" s="238"/>
      <c r="T182" s="238"/>
      <c r="U182" s="238"/>
      <c r="V182" s="238"/>
      <c r="W182" s="238"/>
      <c r="X182" s="238"/>
      <c r="Y182" s="238"/>
      <c r="Z182" s="238"/>
    </row>
    <row r="183" ht="15.75" customHeight="1">
      <c r="A183" s="238"/>
      <c r="B183" s="238"/>
      <c r="C183" s="238"/>
      <c r="D183" s="238"/>
      <c r="E183" s="238"/>
      <c r="F183" s="238"/>
      <c r="G183" s="238"/>
      <c r="H183" s="238"/>
      <c r="I183" s="238"/>
      <c r="J183" s="238"/>
      <c r="K183" s="238"/>
      <c r="L183" s="238"/>
      <c r="M183" s="238"/>
      <c r="N183" s="238"/>
      <c r="O183" s="238"/>
      <c r="P183" s="238"/>
      <c r="Q183" s="238"/>
      <c r="R183" s="238"/>
      <c r="S183" s="238"/>
      <c r="T183" s="238"/>
      <c r="U183" s="238"/>
      <c r="V183" s="238"/>
      <c r="W183" s="238"/>
      <c r="X183" s="238"/>
      <c r="Y183" s="238"/>
      <c r="Z183" s="238"/>
    </row>
    <row r="184" ht="15.75" customHeight="1">
      <c r="A184" s="238"/>
      <c r="B184" s="238"/>
      <c r="C184" s="238"/>
      <c r="D184" s="238"/>
      <c r="E184" s="238"/>
      <c r="F184" s="238"/>
      <c r="G184" s="238"/>
      <c r="H184" s="238"/>
      <c r="I184" s="238"/>
      <c r="J184" s="238"/>
      <c r="K184" s="238"/>
      <c r="L184" s="238"/>
      <c r="M184" s="238"/>
      <c r="N184" s="238"/>
      <c r="O184" s="238"/>
      <c r="P184" s="238"/>
      <c r="Q184" s="238"/>
      <c r="R184" s="238"/>
      <c r="S184" s="238"/>
      <c r="T184" s="238"/>
      <c r="U184" s="238"/>
      <c r="V184" s="238"/>
      <c r="W184" s="238"/>
      <c r="X184" s="238"/>
      <c r="Y184" s="238"/>
      <c r="Z184" s="238"/>
    </row>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F086F1D-1F81-42A7-91B7-D0B1885A341B}" filter="1" showAutoFilter="1">
      <autoFilter ref="$A$7:$D$19"/>
    </customSheetView>
  </customSheetViews>
  <mergeCells count="7">
    <mergeCell ref="A1:B3"/>
    <mergeCell ref="C1:F3"/>
    <mergeCell ref="G1:I1"/>
    <mergeCell ref="G2:I2"/>
    <mergeCell ref="G3:I3"/>
    <mergeCell ref="A4:F4"/>
    <mergeCell ref="G4:I4"/>
  </mergeCell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1.0"/>
    <col customWidth="1" min="2" max="2" width="17.88"/>
    <col customWidth="1" min="3" max="6" width="12.63"/>
  </cols>
  <sheetData>
    <row r="1" ht="15.75" customHeight="1">
      <c r="A1" s="5"/>
      <c r="B1" s="10"/>
      <c r="C1" s="2" t="s">
        <v>107</v>
      </c>
      <c r="D1" s="4"/>
      <c r="E1" s="4"/>
      <c r="F1" s="10"/>
      <c r="G1" s="14" t="s">
        <v>1</v>
      </c>
      <c r="I1" s="3"/>
      <c r="J1" s="229"/>
      <c r="K1" s="229"/>
      <c r="L1" s="229"/>
      <c r="M1" s="229"/>
      <c r="N1" s="229"/>
      <c r="O1" s="229"/>
      <c r="P1" s="229"/>
      <c r="Q1" s="229"/>
    </row>
    <row r="2" ht="15.75" customHeight="1">
      <c r="A2" s="9"/>
      <c r="B2" s="3"/>
      <c r="C2" s="9"/>
      <c r="F2" s="3"/>
      <c r="G2" s="14" t="s">
        <v>2</v>
      </c>
      <c r="I2" s="3"/>
      <c r="J2" s="229"/>
      <c r="K2" s="229"/>
      <c r="L2" s="229"/>
      <c r="M2" s="229"/>
      <c r="N2" s="229"/>
      <c r="O2" s="229"/>
      <c r="P2" s="229"/>
      <c r="Q2" s="229"/>
    </row>
    <row r="3" ht="15.75" customHeight="1">
      <c r="A3" s="9"/>
      <c r="B3" s="3"/>
      <c r="C3" s="9"/>
      <c r="F3" s="3"/>
      <c r="G3" s="14" t="s">
        <v>3</v>
      </c>
      <c r="I3" s="3"/>
      <c r="J3" s="229"/>
      <c r="K3" s="229"/>
      <c r="L3" s="229"/>
      <c r="M3" s="229"/>
      <c r="N3" s="229"/>
      <c r="O3" s="229"/>
      <c r="P3" s="229"/>
      <c r="Q3" s="229"/>
    </row>
    <row r="4" ht="15.75" customHeight="1">
      <c r="A4" s="12" t="s">
        <v>4</v>
      </c>
      <c r="B4" s="15"/>
      <c r="C4" s="15"/>
      <c r="D4" s="15"/>
      <c r="E4" s="15"/>
      <c r="F4" s="13"/>
      <c r="G4" s="23" t="s">
        <v>5</v>
      </c>
      <c r="H4" s="15"/>
      <c r="I4" s="13"/>
      <c r="J4" s="229"/>
      <c r="K4" s="229"/>
      <c r="L4" s="229"/>
      <c r="M4" s="229"/>
      <c r="N4" s="229"/>
      <c r="O4" s="229"/>
      <c r="P4" s="229"/>
      <c r="Q4" s="229"/>
    </row>
    <row r="5" ht="15.75" customHeight="1">
      <c r="A5" s="229"/>
      <c r="B5" s="229"/>
      <c r="C5" s="229"/>
      <c r="D5" s="229"/>
      <c r="E5" s="230"/>
      <c r="F5" s="229"/>
      <c r="G5" s="229"/>
      <c r="H5" s="229"/>
      <c r="I5" s="229"/>
      <c r="J5" s="229"/>
      <c r="K5" s="229"/>
      <c r="L5" s="229"/>
      <c r="M5" s="229"/>
      <c r="N5" s="229"/>
      <c r="O5" s="229"/>
      <c r="P5" s="229"/>
      <c r="Q5" s="229"/>
    </row>
    <row r="6" ht="15.75" customHeight="1">
      <c r="A6" s="231"/>
      <c r="B6" s="231"/>
      <c r="C6" s="231"/>
      <c r="D6" s="231"/>
      <c r="E6" s="232"/>
      <c r="F6" s="231"/>
      <c r="G6" s="231"/>
      <c r="H6" s="231"/>
      <c r="I6" s="231"/>
      <c r="J6" s="231"/>
      <c r="K6" s="231"/>
      <c r="L6" s="231"/>
      <c r="M6" s="231"/>
      <c r="N6" s="231"/>
      <c r="O6" s="231"/>
      <c r="P6" s="231"/>
      <c r="Q6" s="231"/>
    </row>
    <row r="7" ht="15.75" customHeight="1">
      <c r="C7" s="235" t="s">
        <v>91</v>
      </c>
      <c r="D7" s="236" t="s">
        <v>92</v>
      </c>
      <c r="E7" s="237" t="s">
        <v>93</v>
      </c>
      <c r="F7" s="238"/>
      <c r="G7" s="238"/>
      <c r="H7" s="238"/>
      <c r="I7" s="238"/>
      <c r="J7" s="238"/>
      <c r="K7" s="238"/>
      <c r="L7" s="238"/>
      <c r="M7" s="238"/>
      <c r="N7" s="238"/>
      <c r="O7" s="238"/>
      <c r="P7" s="238"/>
      <c r="Q7" s="238"/>
    </row>
    <row r="8" ht="15.75" customHeight="1">
      <c r="C8" s="37">
        <v>0.5</v>
      </c>
      <c r="D8" s="37">
        <v>0.05</v>
      </c>
      <c r="E8" s="37">
        <v>0.0</v>
      </c>
      <c r="F8" s="238"/>
      <c r="G8" s="238"/>
      <c r="H8" s="238"/>
      <c r="I8" s="238"/>
      <c r="J8" s="238"/>
      <c r="K8" s="238"/>
      <c r="L8" s="238"/>
      <c r="M8" s="238"/>
      <c r="N8" s="238"/>
      <c r="O8" s="238"/>
      <c r="P8" s="238"/>
      <c r="Q8" s="238"/>
    </row>
    <row r="9" ht="15.75" customHeight="1">
      <c r="C9" s="37">
        <v>0.5</v>
      </c>
      <c r="D9" s="37">
        <v>0.05</v>
      </c>
      <c r="E9" s="37">
        <v>0.0</v>
      </c>
      <c r="F9" s="238"/>
      <c r="G9" s="238"/>
      <c r="H9" s="238"/>
      <c r="I9" s="238"/>
      <c r="J9" s="238"/>
      <c r="K9" s="238"/>
      <c r="L9" s="238"/>
      <c r="M9" s="238"/>
      <c r="N9" s="238"/>
      <c r="O9" s="238"/>
      <c r="P9" s="238"/>
      <c r="Q9" s="238"/>
    </row>
    <row r="10" ht="15.75" customHeight="1">
      <c r="C10" s="37">
        <v>0.5</v>
      </c>
      <c r="D10" s="37">
        <v>0.05</v>
      </c>
      <c r="E10" s="37">
        <v>0.0</v>
      </c>
      <c r="F10" s="238"/>
      <c r="G10" s="238"/>
      <c r="H10" s="238"/>
      <c r="I10" s="238"/>
      <c r="J10" s="238"/>
      <c r="K10" s="238"/>
      <c r="L10" s="238"/>
      <c r="M10" s="238"/>
      <c r="N10" s="238"/>
      <c r="O10" s="238"/>
      <c r="P10" s="238"/>
      <c r="Q10" s="238"/>
    </row>
    <row r="11" ht="15.75" customHeight="1">
      <c r="C11" s="37">
        <v>0.5</v>
      </c>
      <c r="D11" s="37">
        <v>0.05</v>
      </c>
      <c r="E11" s="37">
        <v>0.0</v>
      </c>
      <c r="F11" s="238"/>
      <c r="G11" s="238"/>
      <c r="H11" s="238"/>
      <c r="I11" s="238"/>
      <c r="J11" s="238"/>
      <c r="K11" s="238"/>
      <c r="L11" s="238"/>
      <c r="M11" s="238"/>
      <c r="N11" s="238"/>
      <c r="O11" s="238"/>
      <c r="P11" s="238"/>
      <c r="Q11" s="238"/>
    </row>
    <row r="12" ht="15.75" customHeight="1">
      <c r="C12" s="37">
        <v>0.5</v>
      </c>
      <c r="D12" s="37">
        <v>0.05</v>
      </c>
      <c r="E12" s="37">
        <v>0.0</v>
      </c>
      <c r="F12" s="238"/>
      <c r="G12" s="238"/>
      <c r="H12" s="238"/>
      <c r="I12" s="238"/>
      <c r="J12" s="238"/>
      <c r="K12" s="238"/>
      <c r="L12" s="238"/>
      <c r="M12" s="238"/>
      <c r="N12" s="238"/>
      <c r="O12" s="238"/>
      <c r="P12" s="238"/>
      <c r="Q12" s="238"/>
    </row>
    <row r="13" ht="15.75" customHeight="1">
      <c r="C13" s="37">
        <v>0.5</v>
      </c>
      <c r="D13" s="37">
        <v>0.05</v>
      </c>
      <c r="E13" s="37">
        <v>0.0</v>
      </c>
      <c r="F13" s="238"/>
      <c r="G13" s="238"/>
      <c r="H13" s="238"/>
      <c r="I13" s="238"/>
      <c r="J13" s="238"/>
      <c r="K13" s="238"/>
      <c r="L13" s="238"/>
      <c r="M13" s="238"/>
      <c r="N13" s="238"/>
      <c r="O13" s="238"/>
      <c r="P13" s="238"/>
      <c r="Q13" s="238"/>
    </row>
    <row r="14" ht="15.75" customHeight="1">
      <c r="A14" s="198"/>
      <c r="B14" s="198"/>
      <c r="C14" s="37">
        <v>0.5</v>
      </c>
      <c r="D14" s="37">
        <v>0.05</v>
      </c>
      <c r="E14" s="37">
        <v>0.0</v>
      </c>
      <c r="F14" s="238"/>
      <c r="G14" s="238"/>
      <c r="H14" s="238"/>
      <c r="I14" s="238"/>
      <c r="J14" s="238"/>
      <c r="K14" s="238"/>
      <c r="L14" s="238"/>
      <c r="M14" s="238"/>
      <c r="N14" s="238"/>
      <c r="O14" s="238"/>
      <c r="P14" s="238"/>
      <c r="Q14" s="238"/>
    </row>
    <row r="15" ht="15.75" customHeight="1">
      <c r="F15" s="238"/>
      <c r="G15" s="238"/>
      <c r="H15" s="238"/>
      <c r="I15" s="238"/>
      <c r="J15" s="238"/>
      <c r="K15" s="238"/>
      <c r="L15" s="238"/>
      <c r="M15" s="238"/>
      <c r="N15" s="238"/>
      <c r="O15" s="238"/>
      <c r="P15" s="238"/>
      <c r="Q15" s="238"/>
    </row>
    <row r="16" ht="15.75" customHeight="1">
      <c r="F16" s="238"/>
      <c r="G16" s="238"/>
      <c r="H16" s="238"/>
      <c r="I16" s="238"/>
      <c r="J16" s="238"/>
      <c r="K16" s="238"/>
      <c r="L16" s="238"/>
      <c r="M16" s="238"/>
      <c r="N16" s="238"/>
      <c r="O16" s="238"/>
      <c r="P16" s="238"/>
      <c r="Q16" s="238"/>
    </row>
    <row r="17" ht="15.75" customHeight="1">
      <c r="F17" s="238"/>
      <c r="G17" s="238"/>
      <c r="H17" s="238"/>
      <c r="I17" s="238"/>
      <c r="J17" s="238"/>
      <c r="K17" s="238"/>
      <c r="L17" s="238"/>
      <c r="M17" s="238"/>
      <c r="N17" s="238"/>
      <c r="O17" s="238"/>
      <c r="P17" s="238"/>
      <c r="Q17" s="238"/>
    </row>
    <row r="18" ht="15.75" customHeight="1">
      <c r="F18" s="238"/>
      <c r="G18" s="238"/>
      <c r="H18" s="238"/>
      <c r="I18" s="238"/>
      <c r="J18" s="238"/>
      <c r="K18" s="238"/>
      <c r="L18" s="238"/>
      <c r="M18" s="238"/>
      <c r="N18" s="238"/>
      <c r="O18" s="238"/>
      <c r="P18" s="238"/>
      <c r="Q18" s="238"/>
    </row>
    <row r="19" ht="15.75" customHeight="1">
      <c r="F19" s="238"/>
      <c r="G19" s="238"/>
      <c r="H19" s="238"/>
      <c r="I19" s="238"/>
      <c r="J19" s="238"/>
      <c r="K19" s="238"/>
      <c r="L19" s="238"/>
      <c r="M19" s="238"/>
      <c r="N19" s="238"/>
      <c r="O19" s="238"/>
      <c r="P19" s="238"/>
      <c r="Q19" s="238"/>
    </row>
    <row r="20" ht="15.75" customHeight="1">
      <c r="F20" s="238"/>
      <c r="G20" s="238"/>
      <c r="H20" s="238"/>
      <c r="I20" s="238"/>
      <c r="J20" s="238"/>
      <c r="K20" s="238"/>
      <c r="L20" s="238"/>
      <c r="M20" s="238"/>
      <c r="N20" s="238"/>
      <c r="O20" s="238"/>
      <c r="P20" s="238"/>
      <c r="Q20" s="238"/>
    </row>
    <row r="21" ht="15.75" customHeight="1">
      <c r="C21" s="235" t="s">
        <v>91</v>
      </c>
      <c r="D21" s="236" t="s">
        <v>92</v>
      </c>
      <c r="E21" s="237" t="s">
        <v>93</v>
      </c>
      <c r="F21" s="238"/>
      <c r="G21" s="238"/>
      <c r="H21" s="238"/>
      <c r="I21" s="238"/>
      <c r="J21" s="238"/>
      <c r="K21" s="238"/>
      <c r="L21" s="238"/>
      <c r="M21" s="238"/>
      <c r="N21" s="238"/>
      <c r="O21" s="238"/>
      <c r="P21" s="238"/>
      <c r="Q21" s="238"/>
    </row>
    <row r="22" ht="15.75" customHeight="1">
      <c r="C22" s="128">
        <v>20.0</v>
      </c>
      <c r="D22" s="128">
        <v>5.0</v>
      </c>
      <c r="E22" s="128">
        <v>0.0</v>
      </c>
      <c r="F22" s="238"/>
      <c r="G22" s="238"/>
      <c r="H22" s="238"/>
      <c r="I22" s="238"/>
      <c r="J22" s="238"/>
      <c r="K22" s="238"/>
      <c r="L22" s="238"/>
      <c r="M22" s="238"/>
      <c r="N22" s="238"/>
      <c r="O22" s="238"/>
      <c r="P22" s="238"/>
      <c r="Q22" s="238"/>
    </row>
    <row r="23" ht="15.75" customHeight="1">
      <c r="C23" s="128">
        <v>20.0</v>
      </c>
      <c r="D23" s="128">
        <v>5.0</v>
      </c>
      <c r="E23" s="128">
        <v>0.0</v>
      </c>
      <c r="F23" s="238"/>
      <c r="G23" s="238"/>
      <c r="H23" s="238"/>
      <c r="I23" s="238"/>
      <c r="J23" s="238"/>
      <c r="K23" s="238"/>
      <c r="L23" s="238"/>
      <c r="M23" s="238"/>
      <c r="N23" s="238"/>
      <c r="O23" s="238"/>
      <c r="P23" s="238"/>
      <c r="Q23" s="238"/>
    </row>
    <row r="24" ht="15.75" customHeight="1">
      <c r="C24" s="128">
        <v>20.0</v>
      </c>
      <c r="D24" s="128">
        <v>5.0</v>
      </c>
      <c r="E24" s="128">
        <v>0.0</v>
      </c>
      <c r="F24" s="238"/>
      <c r="G24" s="238"/>
      <c r="H24" s="238"/>
      <c r="I24" s="238"/>
      <c r="J24" s="238"/>
      <c r="K24" s="238"/>
      <c r="L24" s="238"/>
      <c r="M24" s="238"/>
      <c r="N24" s="238"/>
      <c r="O24" s="238"/>
      <c r="P24" s="238"/>
      <c r="Q24" s="238"/>
    </row>
    <row r="25" ht="15.75" customHeight="1">
      <c r="C25" s="128">
        <v>20.0</v>
      </c>
      <c r="D25" s="128">
        <v>5.0</v>
      </c>
      <c r="E25" s="128">
        <v>0.0</v>
      </c>
      <c r="F25" s="238"/>
      <c r="G25" s="238"/>
      <c r="H25" s="238"/>
      <c r="I25" s="238"/>
      <c r="J25" s="238"/>
      <c r="K25" s="238"/>
      <c r="L25" s="238"/>
      <c r="M25" s="238"/>
      <c r="N25" s="238"/>
      <c r="O25" s="238"/>
      <c r="P25" s="238"/>
      <c r="Q25" s="238"/>
    </row>
    <row r="26" ht="15.75" customHeight="1">
      <c r="C26" s="128">
        <v>20.0</v>
      </c>
      <c r="D26" s="128">
        <v>5.0</v>
      </c>
      <c r="E26" s="128">
        <v>0.0</v>
      </c>
      <c r="F26" s="238"/>
      <c r="G26" s="238"/>
      <c r="H26" s="238"/>
      <c r="I26" s="238"/>
      <c r="J26" s="238"/>
      <c r="K26" s="238"/>
      <c r="L26" s="238"/>
      <c r="M26" s="238"/>
      <c r="N26" s="238"/>
      <c r="O26" s="238"/>
      <c r="P26" s="238"/>
      <c r="Q26" s="238"/>
    </row>
    <row r="27" ht="15.75" customHeight="1">
      <c r="C27" s="128">
        <v>20.0</v>
      </c>
      <c r="D27" s="128">
        <v>5.0</v>
      </c>
      <c r="E27" s="128">
        <v>0.0</v>
      </c>
      <c r="F27" s="238"/>
      <c r="G27" s="238"/>
      <c r="H27" s="238"/>
      <c r="I27" s="238"/>
      <c r="J27" s="238"/>
      <c r="K27" s="238"/>
      <c r="L27" s="238"/>
      <c r="M27" s="238"/>
      <c r="N27" s="238"/>
      <c r="O27" s="238"/>
      <c r="P27" s="238"/>
      <c r="Q27" s="238"/>
    </row>
    <row r="28" ht="15.75" customHeight="1">
      <c r="A28" s="198"/>
      <c r="B28" s="198"/>
      <c r="C28" s="128">
        <v>20.0</v>
      </c>
      <c r="D28" s="128">
        <v>5.0</v>
      </c>
      <c r="E28" s="128">
        <v>0.0</v>
      </c>
      <c r="F28" s="238"/>
      <c r="G28" s="238"/>
      <c r="H28" s="238"/>
      <c r="I28" s="238"/>
      <c r="J28" s="238"/>
      <c r="K28" s="238"/>
      <c r="L28" s="238"/>
      <c r="M28" s="238"/>
      <c r="N28" s="238"/>
      <c r="O28" s="238"/>
      <c r="P28" s="238"/>
      <c r="Q28" s="238"/>
    </row>
    <row r="29" ht="15.75" customHeight="1">
      <c r="C29" s="240"/>
      <c r="D29" s="240"/>
      <c r="E29" s="240"/>
      <c r="F29" s="238"/>
      <c r="G29" s="238"/>
      <c r="H29" s="238"/>
      <c r="I29" s="238"/>
      <c r="J29" s="238"/>
      <c r="K29" s="238"/>
      <c r="L29" s="238"/>
      <c r="M29" s="238"/>
      <c r="N29" s="238"/>
      <c r="O29" s="238"/>
      <c r="P29" s="238"/>
      <c r="Q29" s="238"/>
    </row>
    <row r="30" ht="15.75" customHeight="1">
      <c r="C30" s="240"/>
      <c r="D30" s="240"/>
      <c r="E30" s="240"/>
      <c r="F30" s="238"/>
      <c r="G30" s="238"/>
      <c r="H30" s="238"/>
      <c r="I30" s="238"/>
      <c r="J30" s="238"/>
      <c r="K30" s="238"/>
      <c r="L30" s="238"/>
      <c r="M30" s="238"/>
      <c r="N30" s="238"/>
      <c r="O30" s="238"/>
      <c r="P30" s="238"/>
      <c r="Q30" s="238"/>
    </row>
    <row r="31" ht="15.75" customHeight="1">
      <c r="C31" s="240"/>
      <c r="D31" s="240"/>
      <c r="E31" s="240"/>
      <c r="F31" s="238"/>
      <c r="G31" s="238"/>
      <c r="H31" s="238"/>
      <c r="I31" s="238"/>
      <c r="J31" s="238"/>
      <c r="K31" s="238"/>
      <c r="L31" s="238"/>
      <c r="M31" s="238"/>
      <c r="N31" s="238"/>
      <c r="O31" s="238"/>
      <c r="P31" s="238"/>
      <c r="Q31" s="238"/>
    </row>
    <row r="32" ht="15.75" customHeight="1">
      <c r="C32" s="240"/>
      <c r="D32" s="240"/>
      <c r="E32" s="240"/>
      <c r="F32" s="238"/>
      <c r="G32" s="238"/>
      <c r="H32" s="238"/>
      <c r="I32" s="238"/>
      <c r="J32" s="238"/>
      <c r="K32" s="238"/>
      <c r="L32" s="238"/>
      <c r="M32" s="238"/>
      <c r="N32" s="238"/>
      <c r="O32" s="238"/>
      <c r="P32" s="238"/>
      <c r="Q32" s="238"/>
    </row>
    <row r="33" ht="15.75" customHeight="1">
      <c r="C33" s="240"/>
      <c r="D33" s="240"/>
      <c r="E33" s="240"/>
      <c r="F33" s="238"/>
      <c r="G33" s="238"/>
      <c r="H33" s="238"/>
      <c r="I33" s="238"/>
      <c r="J33" s="238"/>
      <c r="K33" s="238"/>
      <c r="L33" s="238"/>
      <c r="M33" s="238"/>
      <c r="N33" s="238"/>
      <c r="O33" s="238"/>
      <c r="P33" s="238"/>
      <c r="Q33" s="238"/>
    </row>
    <row r="34" ht="15.75" customHeight="1">
      <c r="C34" s="240"/>
      <c r="D34" s="240"/>
      <c r="E34" s="240"/>
      <c r="F34" s="238"/>
      <c r="G34" s="238"/>
      <c r="H34" s="238"/>
      <c r="I34" s="238"/>
      <c r="J34" s="238"/>
      <c r="K34" s="238"/>
      <c r="L34" s="238"/>
      <c r="M34" s="238"/>
      <c r="N34" s="238"/>
      <c r="O34" s="238"/>
      <c r="P34" s="238"/>
      <c r="Q34" s="238"/>
    </row>
    <row r="35" ht="15.75" customHeight="1">
      <c r="C35" s="240"/>
      <c r="D35" s="240"/>
      <c r="E35" s="240"/>
      <c r="F35" s="238"/>
      <c r="G35" s="238"/>
      <c r="H35" s="238"/>
      <c r="I35" s="238"/>
      <c r="J35" s="238"/>
      <c r="K35" s="238"/>
      <c r="L35" s="238"/>
      <c r="M35" s="238"/>
      <c r="N35" s="238"/>
      <c r="O35" s="238"/>
      <c r="P35" s="238"/>
      <c r="Q35" s="238"/>
    </row>
    <row r="36" ht="15.75" customHeight="1">
      <c r="F36" s="238"/>
      <c r="G36" s="238"/>
      <c r="H36" s="238"/>
      <c r="I36" s="238"/>
      <c r="J36" s="238"/>
      <c r="K36" s="238"/>
      <c r="L36" s="238"/>
      <c r="M36" s="238"/>
      <c r="N36" s="238"/>
      <c r="O36" s="238"/>
      <c r="P36" s="238"/>
      <c r="Q36" s="238"/>
    </row>
    <row r="37" ht="15.75" customHeight="1">
      <c r="F37" s="238"/>
      <c r="G37" s="238"/>
      <c r="H37" s="238"/>
      <c r="I37" s="238"/>
      <c r="J37" s="238"/>
      <c r="K37" s="238"/>
      <c r="L37" s="238"/>
      <c r="M37" s="238"/>
      <c r="N37" s="238"/>
      <c r="O37" s="238"/>
      <c r="P37" s="238"/>
      <c r="Q37" s="238"/>
    </row>
    <row r="38" ht="15.75" customHeight="1">
      <c r="C38" s="235" t="s">
        <v>91</v>
      </c>
      <c r="D38" s="236" t="s">
        <v>92</v>
      </c>
      <c r="E38" s="237" t="s">
        <v>93</v>
      </c>
      <c r="F38" s="238"/>
      <c r="G38" s="238"/>
      <c r="H38" s="238"/>
      <c r="I38" s="238"/>
      <c r="J38" s="238"/>
      <c r="K38" s="238"/>
      <c r="L38" s="238"/>
      <c r="M38" s="238"/>
      <c r="N38" s="238"/>
      <c r="O38" s="238"/>
      <c r="P38" s="238"/>
      <c r="Q38" s="238"/>
    </row>
    <row r="39" ht="15.75" customHeight="1">
      <c r="C39" s="128">
        <v>115.0</v>
      </c>
      <c r="D39" s="128">
        <v>100.0</v>
      </c>
      <c r="E39" s="128">
        <v>85.0</v>
      </c>
      <c r="F39" s="238"/>
      <c r="G39" s="238"/>
      <c r="H39" s="238"/>
      <c r="I39" s="238"/>
      <c r="J39" s="238"/>
      <c r="K39" s="238"/>
      <c r="L39" s="238"/>
      <c r="M39" s="238"/>
      <c r="N39" s="238"/>
      <c r="O39" s="238"/>
      <c r="P39" s="238"/>
      <c r="Q39" s="238"/>
    </row>
    <row r="40" ht="15.75" customHeight="1">
      <c r="C40" s="128">
        <v>115.0</v>
      </c>
      <c r="D40" s="128">
        <v>100.0</v>
      </c>
      <c r="E40" s="128">
        <v>85.0</v>
      </c>
      <c r="F40" s="238"/>
      <c r="G40" s="238"/>
      <c r="H40" s="238"/>
      <c r="I40" s="238"/>
      <c r="J40" s="238"/>
      <c r="K40" s="238"/>
      <c r="L40" s="238"/>
      <c r="M40" s="238"/>
      <c r="N40" s="238"/>
      <c r="O40" s="238"/>
      <c r="P40" s="238"/>
      <c r="Q40" s="238"/>
    </row>
    <row r="41" ht="15.75" customHeight="1">
      <c r="C41" s="128">
        <v>115.0</v>
      </c>
      <c r="D41" s="128">
        <v>100.0</v>
      </c>
      <c r="E41" s="128">
        <v>85.0</v>
      </c>
      <c r="F41" s="238"/>
      <c r="G41" s="238"/>
      <c r="H41" s="238"/>
      <c r="I41" s="238"/>
      <c r="J41" s="238"/>
      <c r="K41" s="238"/>
      <c r="L41" s="238"/>
      <c r="M41" s="238"/>
      <c r="N41" s="238"/>
      <c r="O41" s="238"/>
      <c r="P41" s="238"/>
      <c r="Q41" s="238"/>
    </row>
    <row r="42" ht="15.75" customHeight="1">
      <c r="C42" s="128">
        <v>115.0</v>
      </c>
      <c r="D42" s="128">
        <v>100.0</v>
      </c>
      <c r="E42" s="128">
        <v>85.0</v>
      </c>
      <c r="F42" s="238"/>
      <c r="G42" s="238"/>
      <c r="H42" s="238"/>
      <c r="I42" s="238"/>
      <c r="J42" s="238"/>
      <c r="K42" s="238"/>
      <c r="L42" s="238"/>
      <c r="M42" s="238"/>
      <c r="N42" s="238"/>
      <c r="O42" s="238"/>
      <c r="P42" s="238"/>
      <c r="Q42" s="238"/>
    </row>
    <row r="43" ht="15.75" customHeight="1">
      <c r="C43" s="128">
        <v>115.0</v>
      </c>
      <c r="D43" s="128">
        <v>100.0</v>
      </c>
      <c r="E43" s="128">
        <v>85.0</v>
      </c>
      <c r="F43" s="238"/>
      <c r="G43" s="238"/>
      <c r="H43" s="238"/>
      <c r="I43" s="238"/>
      <c r="J43" s="238"/>
      <c r="K43" s="238"/>
      <c r="L43" s="238"/>
      <c r="M43" s="238"/>
      <c r="N43" s="238"/>
      <c r="O43" s="238"/>
      <c r="P43" s="238"/>
      <c r="Q43" s="238"/>
    </row>
    <row r="44" ht="15.75" customHeight="1">
      <c r="C44" s="128">
        <v>115.0</v>
      </c>
      <c r="D44" s="128">
        <v>100.0</v>
      </c>
      <c r="E44" s="128">
        <v>85.0</v>
      </c>
      <c r="F44" s="238"/>
      <c r="G44" s="238"/>
      <c r="H44" s="238"/>
      <c r="I44" s="238"/>
      <c r="J44" s="238"/>
      <c r="K44" s="238"/>
      <c r="L44" s="238"/>
      <c r="M44" s="238"/>
      <c r="N44" s="238"/>
      <c r="O44" s="238"/>
      <c r="P44" s="238"/>
      <c r="Q44" s="238"/>
    </row>
    <row r="45" ht="15.75" customHeight="1">
      <c r="A45" s="198"/>
      <c r="B45" s="198"/>
      <c r="C45" s="128">
        <v>115.0</v>
      </c>
      <c r="D45" s="128">
        <v>100.0</v>
      </c>
      <c r="E45" s="128">
        <v>85.0</v>
      </c>
      <c r="F45" s="238"/>
      <c r="G45" s="238"/>
      <c r="H45" s="238"/>
      <c r="I45" s="238"/>
      <c r="J45" s="238"/>
      <c r="K45" s="238"/>
      <c r="L45" s="238"/>
      <c r="M45" s="238"/>
      <c r="N45" s="238"/>
      <c r="O45" s="238"/>
      <c r="P45" s="238"/>
      <c r="Q45" s="238"/>
    </row>
    <row r="46" ht="15.75" customHeight="1">
      <c r="C46" s="240"/>
      <c r="D46" s="240"/>
      <c r="E46" s="240"/>
      <c r="F46" s="238"/>
      <c r="G46" s="238"/>
      <c r="H46" s="238"/>
      <c r="I46" s="238"/>
      <c r="J46" s="238"/>
      <c r="K46" s="238"/>
      <c r="L46" s="238"/>
      <c r="M46" s="238"/>
      <c r="N46" s="238"/>
      <c r="O46" s="238"/>
      <c r="P46" s="238"/>
      <c r="Q46" s="238"/>
    </row>
    <row r="47" ht="15.75" customHeight="1">
      <c r="C47" s="240"/>
      <c r="D47" s="240"/>
      <c r="E47" s="240"/>
      <c r="F47" s="238"/>
      <c r="G47" s="238"/>
      <c r="H47" s="238"/>
      <c r="I47" s="238"/>
      <c r="J47" s="238"/>
      <c r="K47" s="238"/>
      <c r="L47" s="238"/>
      <c r="M47" s="238"/>
      <c r="N47" s="238"/>
      <c r="O47" s="238"/>
      <c r="P47" s="238"/>
      <c r="Q47" s="238"/>
    </row>
    <row r="48" ht="15.75" customHeight="1">
      <c r="C48" s="240"/>
      <c r="D48" s="240"/>
      <c r="E48" s="240"/>
      <c r="F48" s="238"/>
      <c r="G48" s="238"/>
      <c r="H48" s="238"/>
      <c r="I48" s="238"/>
      <c r="J48" s="238"/>
      <c r="K48" s="238"/>
      <c r="L48" s="238"/>
      <c r="M48" s="238"/>
      <c r="N48" s="238"/>
      <c r="O48" s="238"/>
      <c r="P48" s="238"/>
      <c r="Q48" s="238"/>
    </row>
    <row r="49" ht="15.75" customHeight="1">
      <c r="C49" s="240"/>
      <c r="D49" s="240"/>
      <c r="E49" s="240"/>
      <c r="F49" s="238"/>
      <c r="G49" s="238"/>
      <c r="H49" s="238"/>
      <c r="I49" s="238"/>
      <c r="J49" s="238"/>
      <c r="K49" s="238"/>
      <c r="L49" s="238"/>
      <c r="M49" s="238"/>
      <c r="N49" s="238"/>
      <c r="O49" s="238"/>
      <c r="P49" s="238"/>
      <c r="Q49" s="238"/>
    </row>
    <row r="50" ht="15.75" customHeight="1">
      <c r="C50" s="240"/>
      <c r="D50" s="240"/>
      <c r="E50" s="240"/>
      <c r="F50" s="238"/>
      <c r="G50" s="238"/>
      <c r="H50" s="238"/>
      <c r="I50" s="238"/>
      <c r="J50" s="238"/>
      <c r="K50" s="238"/>
      <c r="L50" s="238"/>
      <c r="M50" s="238"/>
      <c r="N50" s="238"/>
      <c r="O50" s="238"/>
      <c r="P50" s="238"/>
      <c r="Q50" s="238"/>
    </row>
    <row r="51" ht="15.75" customHeight="1">
      <c r="C51" s="240"/>
      <c r="D51" s="240"/>
      <c r="E51" s="240"/>
      <c r="F51" s="238"/>
      <c r="G51" s="238"/>
      <c r="H51" s="238"/>
      <c r="I51" s="238"/>
      <c r="J51" s="238"/>
      <c r="K51" s="238"/>
      <c r="L51" s="238"/>
      <c r="M51" s="238"/>
      <c r="N51" s="238"/>
      <c r="O51" s="238"/>
      <c r="P51" s="238"/>
      <c r="Q51" s="238"/>
    </row>
    <row r="52" ht="15.75" customHeight="1">
      <c r="C52" s="240"/>
      <c r="D52" s="240"/>
      <c r="E52" s="240"/>
      <c r="F52" s="238"/>
      <c r="G52" s="238"/>
      <c r="H52" s="238"/>
      <c r="I52" s="238"/>
      <c r="J52" s="238"/>
      <c r="K52" s="238"/>
      <c r="L52" s="238"/>
      <c r="M52" s="238"/>
      <c r="N52" s="238"/>
      <c r="O52" s="238"/>
      <c r="P52" s="238"/>
      <c r="Q52" s="238"/>
    </row>
    <row r="53" ht="15.75" customHeight="1">
      <c r="C53" s="240"/>
      <c r="D53" s="240"/>
      <c r="E53" s="240"/>
      <c r="F53" s="238"/>
      <c r="G53" s="238"/>
      <c r="H53" s="238"/>
      <c r="I53" s="238"/>
      <c r="J53" s="238"/>
      <c r="K53" s="238"/>
      <c r="L53" s="238"/>
      <c r="M53" s="238"/>
      <c r="N53" s="238"/>
      <c r="O53" s="238"/>
      <c r="P53" s="238"/>
      <c r="Q53" s="238"/>
    </row>
    <row r="54" ht="15.75" customHeight="1">
      <c r="A54" s="238"/>
      <c r="B54" s="238"/>
      <c r="C54" s="238"/>
      <c r="D54" s="238"/>
      <c r="E54" s="238"/>
      <c r="F54" s="238"/>
      <c r="G54" s="238"/>
      <c r="H54" s="238"/>
      <c r="I54" s="238"/>
      <c r="J54" s="238"/>
      <c r="K54" s="238"/>
      <c r="L54" s="238"/>
      <c r="M54" s="238"/>
      <c r="N54" s="238"/>
      <c r="O54" s="238"/>
      <c r="P54" s="238"/>
      <c r="Q54" s="238"/>
    </row>
    <row r="55" ht="15.75" customHeight="1">
      <c r="A55" s="238"/>
      <c r="B55" s="238"/>
      <c r="C55" s="238"/>
      <c r="D55" s="238"/>
      <c r="E55" s="238"/>
      <c r="F55" s="238"/>
      <c r="G55" s="238"/>
      <c r="H55" s="238"/>
      <c r="I55" s="238"/>
      <c r="J55" s="238"/>
      <c r="K55" s="238"/>
      <c r="L55" s="238"/>
      <c r="M55" s="238"/>
      <c r="N55" s="238"/>
      <c r="O55" s="238"/>
      <c r="P55" s="238"/>
      <c r="Q55" s="238"/>
    </row>
    <row r="56" ht="15.75" customHeight="1">
      <c r="C56" s="235" t="s">
        <v>91</v>
      </c>
      <c r="D56" s="236" t="s">
        <v>92</v>
      </c>
      <c r="E56" s="237" t="s">
        <v>93</v>
      </c>
      <c r="F56" s="238"/>
      <c r="G56" s="238"/>
      <c r="H56" s="238"/>
      <c r="I56" s="238"/>
      <c r="J56" s="238"/>
      <c r="K56" s="238"/>
      <c r="L56" s="238"/>
      <c r="M56" s="238"/>
      <c r="N56" s="238"/>
      <c r="O56" s="238"/>
      <c r="P56" s="238"/>
      <c r="Q56" s="238"/>
    </row>
    <row r="57" ht="15.75" customHeight="1">
      <c r="C57" s="128">
        <v>20.0</v>
      </c>
      <c r="D57" s="128">
        <v>10.0</v>
      </c>
      <c r="E57" s="128">
        <v>5.0</v>
      </c>
      <c r="F57" s="238"/>
      <c r="G57" s="238"/>
      <c r="H57" s="238"/>
      <c r="I57" s="238"/>
      <c r="J57" s="238"/>
      <c r="K57" s="238"/>
      <c r="L57" s="238"/>
      <c r="M57" s="238"/>
      <c r="N57" s="238"/>
      <c r="O57" s="238"/>
      <c r="P57" s="238"/>
      <c r="Q57" s="238"/>
    </row>
    <row r="58" ht="15.75" customHeight="1">
      <c r="C58" s="128">
        <v>20.0</v>
      </c>
      <c r="D58" s="128">
        <v>10.0</v>
      </c>
      <c r="E58" s="128">
        <v>5.0</v>
      </c>
      <c r="F58" s="238"/>
      <c r="G58" s="238"/>
      <c r="H58" s="238"/>
      <c r="I58" s="238"/>
      <c r="J58" s="238"/>
      <c r="K58" s="238"/>
      <c r="L58" s="238"/>
      <c r="M58" s="238"/>
      <c r="N58" s="238"/>
      <c r="O58" s="238"/>
      <c r="P58" s="238"/>
      <c r="Q58" s="238"/>
    </row>
    <row r="59" ht="15.75" customHeight="1">
      <c r="C59" s="128">
        <v>20.0</v>
      </c>
      <c r="D59" s="128">
        <v>10.0</v>
      </c>
      <c r="E59" s="128">
        <v>5.0</v>
      </c>
      <c r="F59" s="238"/>
      <c r="G59" s="238"/>
      <c r="H59" s="238"/>
      <c r="I59" s="238"/>
      <c r="J59" s="238"/>
      <c r="K59" s="238"/>
      <c r="L59" s="238"/>
      <c r="M59" s="238"/>
      <c r="N59" s="238"/>
      <c r="O59" s="238"/>
      <c r="P59" s="238"/>
      <c r="Q59" s="238"/>
    </row>
    <row r="60" ht="15.75" customHeight="1">
      <c r="C60" s="128">
        <v>20.0</v>
      </c>
      <c r="D60" s="128">
        <v>10.0</v>
      </c>
      <c r="E60" s="128">
        <v>5.0</v>
      </c>
      <c r="F60" s="238"/>
      <c r="G60" s="238"/>
      <c r="H60" s="238"/>
      <c r="I60" s="238"/>
      <c r="J60" s="238"/>
      <c r="K60" s="238"/>
      <c r="L60" s="238"/>
      <c r="M60" s="238"/>
      <c r="N60" s="238"/>
      <c r="O60" s="238"/>
      <c r="P60" s="238"/>
      <c r="Q60" s="238"/>
    </row>
    <row r="61" ht="15.75" customHeight="1">
      <c r="C61" s="128">
        <v>20.0</v>
      </c>
      <c r="D61" s="128">
        <v>10.0</v>
      </c>
      <c r="E61" s="128">
        <v>5.0</v>
      </c>
      <c r="F61" s="238"/>
      <c r="G61" s="238"/>
      <c r="H61" s="238"/>
      <c r="I61" s="238"/>
      <c r="J61" s="238"/>
      <c r="K61" s="238"/>
      <c r="L61" s="238"/>
      <c r="M61" s="238"/>
      <c r="N61" s="238"/>
      <c r="O61" s="238"/>
      <c r="P61" s="238"/>
      <c r="Q61" s="238"/>
    </row>
    <row r="62" ht="15.75" customHeight="1">
      <c r="C62" s="128">
        <v>20.0</v>
      </c>
      <c r="D62" s="128">
        <v>10.0</v>
      </c>
      <c r="E62" s="128">
        <v>5.0</v>
      </c>
      <c r="F62" s="238"/>
      <c r="G62" s="238"/>
      <c r="H62" s="238"/>
      <c r="I62" s="238"/>
      <c r="J62" s="238"/>
      <c r="K62" s="238"/>
      <c r="L62" s="238"/>
      <c r="M62" s="238"/>
      <c r="N62" s="238"/>
      <c r="O62" s="238"/>
      <c r="P62" s="238"/>
      <c r="Q62" s="238"/>
    </row>
    <row r="63" ht="15.75" customHeight="1">
      <c r="A63" s="198"/>
      <c r="B63" s="198"/>
      <c r="C63" s="128">
        <v>20.0</v>
      </c>
      <c r="D63" s="128">
        <v>10.0</v>
      </c>
      <c r="E63" s="128">
        <v>5.0</v>
      </c>
      <c r="F63" s="238"/>
      <c r="G63" s="238"/>
      <c r="H63" s="238"/>
      <c r="I63" s="238"/>
      <c r="J63" s="238"/>
      <c r="K63" s="238"/>
      <c r="L63" s="238"/>
      <c r="M63" s="238"/>
      <c r="N63" s="238"/>
      <c r="O63" s="238"/>
      <c r="P63" s="238"/>
      <c r="Q63" s="238"/>
    </row>
    <row r="64" ht="15.75" customHeight="1">
      <c r="C64" s="240"/>
      <c r="D64" s="240"/>
      <c r="E64" s="240"/>
      <c r="F64" s="238"/>
      <c r="G64" s="238"/>
      <c r="H64" s="238"/>
      <c r="I64" s="238"/>
      <c r="J64" s="238"/>
      <c r="K64" s="238"/>
      <c r="L64" s="238"/>
      <c r="M64" s="238"/>
      <c r="N64" s="238"/>
      <c r="O64" s="238"/>
      <c r="P64" s="238"/>
      <c r="Q64" s="238"/>
    </row>
    <row r="65" ht="15.75" customHeight="1">
      <c r="C65" s="240"/>
      <c r="D65" s="240"/>
      <c r="E65" s="240"/>
      <c r="F65" s="238"/>
      <c r="G65" s="238"/>
      <c r="H65" s="238"/>
      <c r="I65" s="238"/>
      <c r="J65" s="238"/>
      <c r="K65" s="238"/>
      <c r="L65" s="238"/>
      <c r="M65" s="238"/>
      <c r="N65" s="238"/>
      <c r="O65" s="238"/>
      <c r="P65" s="238"/>
      <c r="Q65" s="238"/>
    </row>
    <row r="66" ht="15.75" customHeight="1">
      <c r="C66" s="240"/>
      <c r="D66" s="240"/>
      <c r="E66" s="240"/>
      <c r="F66" s="238"/>
      <c r="G66" s="238"/>
      <c r="H66" s="238"/>
      <c r="I66" s="238"/>
      <c r="J66" s="238"/>
      <c r="K66" s="238"/>
      <c r="L66" s="238"/>
      <c r="M66" s="238"/>
      <c r="N66" s="238"/>
      <c r="O66" s="238"/>
      <c r="P66" s="238"/>
      <c r="Q66" s="238"/>
    </row>
    <row r="67" ht="15.75" customHeight="1">
      <c r="C67" s="240"/>
      <c r="D67" s="240"/>
      <c r="E67" s="240"/>
      <c r="F67" s="238"/>
      <c r="G67" s="238"/>
      <c r="H67" s="238"/>
      <c r="I67" s="238"/>
      <c r="J67" s="238"/>
      <c r="K67" s="238"/>
      <c r="L67" s="238"/>
      <c r="M67" s="238"/>
      <c r="N67" s="238"/>
      <c r="O67" s="238"/>
      <c r="P67" s="238"/>
      <c r="Q67" s="238"/>
    </row>
    <row r="68" ht="15.75" customHeight="1">
      <c r="A68" s="238"/>
      <c r="B68" s="238"/>
      <c r="C68" s="238"/>
      <c r="D68" s="238"/>
      <c r="E68" s="238"/>
      <c r="F68" s="238"/>
      <c r="G68" s="238"/>
      <c r="H68" s="238"/>
      <c r="I68" s="238"/>
      <c r="J68" s="238"/>
      <c r="K68" s="238"/>
      <c r="L68" s="238"/>
      <c r="M68" s="238"/>
      <c r="N68" s="238"/>
      <c r="O68" s="238"/>
      <c r="P68" s="238"/>
      <c r="Q68" s="238"/>
    </row>
    <row r="69" ht="15.75" customHeight="1">
      <c r="A69" s="238"/>
      <c r="B69" s="238"/>
      <c r="C69" s="238"/>
      <c r="D69" s="238"/>
      <c r="E69" s="238"/>
      <c r="F69" s="238"/>
      <c r="G69" s="238"/>
      <c r="H69" s="238"/>
      <c r="I69" s="238"/>
      <c r="J69" s="238"/>
      <c r="K69" s="238"/>
      <c r="L69" s="238"/>
      <c r="M69" s="238"/>
      <c r="N69" s="238"/>
      <c r="O69" s="238"/>
      <c r="P69" s="238"/>
      <c r="Q69" s="238"/>
    </row>
    <row r="70" ht="15.75" customHeight="1">
      <c r="A70" s="238"/>
      <c r="B70" s="238"/>
      <c r="C70" s="238"/>
      <c r="D70" s="238"/>
      <c r="E70" s="238"/>
      <c r="F70" s="238"/>
      <c r="G70" s="238"/>
      <c r="H70" s="238"/>
      <c r="I70" s="238"/>
      <c r="J70" s="238"/>
      <c r="K70" s="238"/>
      <c r="L70" s="238"/>
      <c r="M70" s="238"/>
      <c r="N70" s="238"/>
      <c r="O70" s="238"/>
      <c r="P70" s="238"/>
      <c r="Q70" s="238"/>
    </row>
    <row r="71" ht="15.75" customHeight="1">
      <c r="C71" s="235" t="s">
        <v>91</v>
      </c>
      <c r="D71" s="236" t="s">
        <v>92</v>
      </c>
      <c r="E71" s="237" t="s">
        <v>93</v>
      </c>
      <c r="F71" s="238"/>
      <c r="G71" s="238"/>
      <c r="H71" s="238"/>
      <c r="I71" s="238"/>
      <c r="J71" s="238"/>
      <c r="K71" s="238"/>
      <c r="L71" s="238"/>
      <c r="M71" s="238"/>
      <c r="N71" s="238"/>
      <c r="O71" s="238"/>
      <c r="P71" s="238"/>
      <c r="Q71" s="238"/>
    </row>
    <row r="72" ht="15.75" customHeight="1">
      <c r="C72" s="56">
        <v>110.0</v>
      </c>
      <c r="D72" s="56">
        <v>100.0</v>
      </c>
      <c r="E72" s="56">
        <v>90.0</v>
      </c>
      <c r="F72" s="238"/>
      <c r="G72" s="238"/>
      <c r="H72" s="238"/>
      <c r="I72" s="238"/>
      <c r="J72" s="238"/>
      <c r="K72" s="238"/>
      <c r="L72" s="238"/>
      <c r="M72" s="238"/>
      <c r="N72" s="238"/>
      <c r="O72" s="238"/>
      <c r="P72" s="238"/>
      <c r="Q72" s="238"/>
    </row>
    <row r="73" ht="15.75" customHeight="1">
      <c r="C73" s="56">
        <v>110.0</v>
      </c>
      <c r="D73" s="56">
        <v>100.0</v>
      </c>
      <c r="E73" s="56">
        <v>90.0</v>
      </c>
      <c r="F73" s="238"/>
      <c r="G73" s="238"/>
      <c r="H73" s="238"/>
      <c r="I73" s="238"/>
      <c r="J73" s="238"/>
      <c r="K73" s="238"/>
      <c r="L73" s="238"/>
      <c r="M73" s="238"/>
      <c r="N73" s="238"/>
      <c r="O73" s="238"/>
      <c r="P73" s="238"/>
      <c r="Q73" s="238"/>
    </row>
    <row r="74" ht="15.75" customHeight="1">
      <c r="C74" s="56">
        <v>110.0</v>
      </c>
      <c r="D74" s="56">
        <v>100.0</v>
      </c>
      <c r="E74" s="56">
        <v>90.0</v>
      </c>
      <c r="F74" s="238"/>
      <c r="G74" s="238"/>
      <c r="H74" s="238"/>
      <c r="I74" s="238"/>
      <c r="J74" s="238"/>
      <c r="K74" s="238"/>
      <c r="L74" s="238"/>
      <c r="M74" s="238"/>
      <c r="N74" s="238"/>
      <c r="O74" s="238"/>
      <c r="P74" s="238"/>
      <c r="Q74" s="238"/>
    </row>
    <row r="75" ht="15.75" customHeight="1">
      <c r="C75" s="56">
        <v>110.0</v>
      </c>
      <c r="D75" s="56">
        <v>100.0</v>
      </c>
      <c r="E75" s="56">
        <v>90.0</v>
      </c>
      <c r="F75" s="238"/>
      <c r="G75" s="238"/>
      <c r="H75" s="238"/>
      <c r="I75" s="238"/>
      <c r="J75" s="238"/>
      <c r="K75" s="238"/>
      <c r="L75" s="238"/>
      <c r="M75" s="238"/>
      <c r="N75" s="238"/>
      <c r="O75" s="238"/>
      <c r="P75" s="238"/>
      <c r="Q75" s="238"/>
    </row>
    <row r="76" ht="15.75" customHeight="1">
      <c r="C76" s="56">
        <v>110.0</v>
      </c>
      <c r="D76" s="56">
        <v>100.0</v>
      </c>
      <c r="E76" s="56">
        <v>90.0</v>
      </c>
      <c r="F76" s="238"/>
      <c r="G76" s="238"/>
      <c r="H76" s="238"/>
      <c r="I76" s="238"/>
      <c r="J76" s="238"/>
      <c r="K76" s="238"/>
      <c r="L76" s="238"/>
      <c r="M76" s="238"/>
      <c r="N76" s="238"/>
      <c r="O76" s="238"/>
      <c r="P76" s="238"/>
      <c r="Q76" s="238"/>
    </row>
    <row r="77" ht="15.75" customHeight="1">
      <c r="C77" s="56">
        <v>110.0</v>
      </c>
      <c r="D77" s="56">
        <v>100.0</v>
      </c>
      <c r="E77" s="56">
        <v>90.0</v>
      </c>
      <c r="F77" s="238"/>
      <c r="G77" s="238"/>
      <c r="H77" s="238"/>
      <c r="I77" s="238"/>
      <c r="J77" s="238"/>
      <c r="K77" s="238"/>
      <c r="L77" s="238"/>
      <c r="M77" s="238"/>
      <c r="N77" s="238"/>
      <c r="O77" s="238"/>
      <c r="P77" s="238"/>
      <c r="Q77" s="238"/>
    </row>
    <row r="78" ht="15.75" customHeight="1">
      <c r="A78" s="198"/>
      <c r="B78" s="198"/>
      <c r="C78" s="56">
        <v>110.0</v>
      </c>
      <c r="D78" s="56">
        <v>100.0</v>
      </c>
      <c r="E78" s="56">
        <v>90.0</v>
      </c>
      <c r="F78" s="238"/>
      <c r="G78" s="238"/>
      <c r="H78" s="238"/>
      <c r="I78" s="238"/>
      <c r="J78" s="238"/>
      <c r="K78" s="238"/>
      <c r="L78" s="238"/>
      <c r="M78" s="238"/>
      <c r="N78" s="238"/>
      <c r="O78" s="238"/>
      <c r="P78" s="238"/>
      <c r="Q78" s="238"/>
    </row>
    <row r="79" ht="15.75" customHeight="1">
      <c r="C79" s="242"/>
      <c r="D79" s="242"/>
      <c r="E79" s="242"/>
      <c r="F79" s="238"/>
      <c r="G79" s="238"/>
      <c r="H79" s="238"/>
      <c r="I79" s="238"/>
      <c r="J79" s="238"/>
      <c r="K79" s="238"/>
      <c r="L79" s="238"/>
      <c r="M79" s="238"/>
      <c r="N79" s="238"/>
      <c r="O79" s="238"/>
      <c r="P79" s="238"/>
      <c r="Q79" s="238"/>
    </row>
    <row r="80" ht="15.75" customHeight="1">
      <c r="C80" s="242"/>
      <c r="D80" s="242"/>
      <c r="E80" s="242"/>
      <c r="F80" s="238"/>
      <c r="G80" s="238"/>
      <c r="H80" s="238"/>
      <c r="I80" s="238"/>
      <c r="J80" s="238"/>
      <c r="K80" s="238"/>
      <c r="L80" s="238"/>
      <c r="M80" s="238"/>
      <c r="N80" s="238"/>
      <c r="O80" s="238"/>
      <c r="P80" s="238"/>
      <c r="Q80" s="238"/>
    </row>
    <row r="81" ht="15.75" customHeight="1">
      <c r="C81" s="242"/>
      <c r="D81" s="242"/>
      <c r="E81" s="242"/>
      <c r="F81" s="238"/>
      <c r="G81" s="238"/>
      <c r="H81" s="238"/>
      <c r="I81" s="238"/>
      <c r="J81" s="238"/>
      <c r="K81" s="238"/>
      <c r="L81" s="238"/>
      <c r="M81" s="238"/>
      <c r="N81" s="238"/>
      <c r="O81" s="238"/>
      <c r="P81" s="238"/>
      <c r="Q81" s="238"/>
    </row>
    <row r="82" ht="15.75" customHeight="1">
      <c r="C82" s="242"/>
      <c r="D82" s="242"/>
      <c r="E82" s="242"/>
      <c r="F82" s="238"/>
      <c r="G82" s="238"/>
      <c r="H82" s="238"/>
      <c r="I82" s="238"/>
      <c r="J82" s="238"/>
      <c r="K82" s="238"/>
      <c r="L82" s="238"/>
      <c r="M82" s="238"/>
      <c r="N82" s="238"/>
      <c r="O82" s="238"/>
      <c r="P82" s="238"/>
      <c r="Q82" s="238"/>
    </row>
    <row r="83" ht="15.75" customHeight="1">
      <c r="C83" s="242"/>
      <c r="D83" s="242"/>
      <c r="E83" s="242"/>
      <c r="F83" s="238"/>
      <c r="G83" s="238"/>
      <c r="H83" s="238"/>
      <c r="I83" s="238"/>
      <c r="J83" s="238"/>
      <c r="K83" s="238"/>
      <c r="L83" s="238"/>
      <c r="M83" s="238"/>
      <c r="N83" s="238"/>
      <c r="O83" s="238"/>
      <c r="P83" s="238"/>
      <c r="Q83" s="238"/>
    </row>
    <row r="84" ht="15.75" customHeight="1">
      <c r="C84" s="242"/>
      <c r="D84" s="242"/>
      <c r="E84" s="242"/>
      <c r="F84" s="238"/>
      <c r="G84" s="238"/>
      <c r="H84" s="238"/>
      <c r="I84" s="238"/>
      <c r="J84" s="238"/>
      <c r="K84" s="238"/>
      <c r="L84" s="238"/>
      <c r="M84" s="238"/>
      <c r="N84" s="238"/>
      <c r="O84" s="238"/>
      <c r="P84" s="238"/>
      <c r="Q84" s="238"/>
    </row>
    <row r="85" ht="15.75" customHeight="1">
      <c r="C85" s="242"/>
      <c r="D85" s="242"/>
      <c r="E85" s="242"/>
      <c r="F85" s="238"/>
      <c r="G85" s="238"/>
      <c r="H85" s="238"/>
      <c r="I85" s="238"/>
      <c r="J85" s="238"/>
      <c r="K85" s="238"/>
      <c r="L85" s="238"/>
      <c r="M85" s="238"/>
      <c r="N85" s="238"/>
      <c r="O85" s="238"/>
      <c r="P85" s="238"/>
      <c r="Q85" s="238"/>
    </row>
    <row r="86" ht="15.75" customHeight="1">
      <c r="C86" s="242"/>
      <c r="D86" s="242"/>
      <c r="E86" s="242"/>
      <c r="F86" s="238"/>
      <c r="G86" s="238"/>
      <c r="H86" s="238"/>
      <c r="I86" s="238"/>
      <c r="J86" s="238"/>
      <c r="K86" s="238"/>
      <c r="L86" s="238"/>
      <c r="M86" s="238"/>
      <c r="N86" s="238"/>
      <c r="O86" s="238"/>
      <c r="P86" s="238"/>
      <c r="Q86" s="238"/>
    </row>
    <row r="87" ht="15.75" customHeight="1">
      <c r="C87" s="242"/>
      <c r="D87" s="242"/>
      <c r="E87" s="242"/>
      <c r="F87" s="238"/>
      <c r="G87" s="238"/>
      <c r="H87" s="238"/>
      <c r="I87" s="238"/>
      <c r="J87" s="238"/>
      <c r="K87" s="238"/>
      <c r="L87" s="238"/>
      <c r="M87" s="238"/>
      <c r="N87" s="238"/>
      <c r="O87" s="238"/>
      <c r="P87" s="238"/>
      <c r="Q87" s="238"/>
    </row>
    <row r="88" ht="15.75" customHeight="1">
      <c r="C88" s="242"/>
      <c r="D88" s="242"/>
      <c r="E88" s="242"/>
      <c r="F88" s="238"/>
      <c r="G88" s="238"/>
      <c r="H88" s="238"/>
      <c r="I88" s="238"/>
      <c r="J88" s="238"/>
      <c r="K88" s="238"/>
      <c r="L88" s="238"/>
      <c r="M88" s="238"/>
      <c r="N88" s="238"/>
      <c r="O88" s="238"/>
      <c r="P88" s="238"/>
      <c r="Q88" s="238"/>
    </row>
    <row r="89" ht="15.75" customHeight="1">
      <c r="C89" s="242"/>
      <c r="D89" s="242"/>
      <c r="E89" s="242"/>
      <c r="F89" s="238"/>
      <c r="G89" s="238"/>
      <c r="H89" s="238"/>
      <c r="I89" s="238"/>
      <c r="J89" s="238"/>
      <c r="K89" s="238"/>
      <c r="L89" s="238"/>
      <c r="M89" s="238"/>
      <c r="N89" s="238"/>
      <c r="O89" s="238"/>
      <c r="P89" s="238"/>
      <c r="Q89" s="238"/>
    </row>
    <row r="90" ht="15.75" customHeight="1">
      <c r="C90" s="242"/>
      <c r="D90" s="242"/>
      <c r="E90" s="242"/>
      <c r="F90" s="238"/>
      <c r="G90" s="238"/>
      <c r="H90" s="238"/>
      <c r="I90" s="238"/>
      <c r="J90" s="238"/>
      <c r="K90" s="238"/>
      <c r="L90" s="238"/>
      <c r="M90" s="238"/>
      <c r="N90" s="238"/>
      <c r="O90" s="238"/>
      <c r="P90" s="238"/>
      <c r="Q90" s="238"/>
    </row>
    <row r="91" ht="15.75" customHeight="1">
      <c r="C91" s="242"/>
      <c r="D91" s="242"/>
      <c r="E91" s="242"/>
      <c r="F91" s="238"/>
      <c r="G91" s="238"/>
      <c r="H91" s="238"/>
      <c r="I91" s="238"/>
      <c r="J91" s="238"/>
      <c r="K91" s="238"/>
      <c r="L91" s="238"/>
      <c r="M91" s="238"/>
      <c r="N91" s="238"/>
      <c r="O91" s="238"/>
      <c r="P91" s="238"/>
      <c r="Q91" s="238"/>
    </row>
    <row r="92" ht="15.75" customHeight="1">
      <c r="C92" s="242"/>
      <c r="D92" s="242"/>
      <c r="E92" s="242"/>
      <c r="F92" s="238"/>
      <c r="G92" s="238"/>
      <c r="H92" s="238"/>
      <c r="I92" s="238"/>
      <c r="J92" s="238"/>
      <c r="K92" s="238"/>
      <c r="L92" s="238"/>
      <c r="M92" s="238"/>
      <c r="N92" s="238"/>
      <c r="O92" s="238"/>
      <c r="P92" s="238"/>
      <c r="Q92" s="238"/>
    </row>
    <row r="93" ht="15.75" customHeight="1">
      <c r="C93" s="242"/>
      <c r="D93" s="242"/>
      <c r="E93" s="242"/>
      <c r="F93" s="238"/>
      <c r="G93" s="238"/>
      <c r="H93" s="238"/>
      <c r="I93" s="238"/>
      <c r="J93" s="238"/>
      <c r="K93" s="238"/>
      <c r="L93" s="238"/>
      <c r="M93" s="238"/>
      <c r="N93" s="238"/>
      <c r="O93" s="238"/>
      <c r="P93" s="238"/>
      <c r="Q93" s="238"/>
    </row>
    <row r="94" ht="15.75" customHeight="1">
      <c r="C94" s="242"/>
      <c r="D94" s="242"/>
      <c r="E94" s="242"/>
      <c r="F94" s="238"/>
      <c r="G94" s="238"/>
      <c r="H94" s="238"/>
      <c r="I94" s="238"/>
      <c r="J94" s="238"/>
      <c r="K94" s="238"/>
      <c r="L94" s="238"/>
      <c r="M94" s="238"/>
      <c r="N94" s="238"/>
      <c r="O94" s="238"/>
      <c r="P94" s="238"/>
      <c r="Q94" s="238"/>
    </row>
    <row r="95" ht="15.75" customHeight="1">
      <c r="C95" s="242"/>
      <c r="D95" s="242"/>
      <c r="E95" s="242"/>
      <c r="F95" s="238"/>
      <c r="G95" s="238"/>
      <c r="H95" s="238"/>
      <c r="I95" s="238"/>
      <c r="J95" s="238"/>
      <c r="K95" s="238"/>
      <c r="L95" s="238"/>
      <c r="M95" s="238"/>
      <c r="N95" s="238"/>
      <c r="O95" s="238"/>
      <c r="P95" s="238"/>
      <c r="Q95" s="238"/>
    </row>
    <row r="96" ht="15.75" customHeight="1">
      <c r="C96" s="242"/>
      <c r="D96" s="242"/>
      <c r="E96" s="242"/>
      <c r="F96" s="238"/>
      <c r="G96" s="238"/>
      <c r="H96" s="238"/>
      <c r="I96" s="238"/>
      <c r="J96" s="238"/>
      <c r="K96" s="238"/>
      <c r="L96" s="238"/>
      <c r="M96" s="238"/>
      <c r="N96" s="238"/>
      <c r="O96" s="238"/>
      <c r="P96" s="238"/>
      <c r="Q96" s="238"/>
    </row>
    <row r="97" ht="15.75" customHeight="1">
      <c r="C97" s="242"/>
      <c r="D97" s="242"/>
      <c r="E97" s="242"/>
      <c r="F97" s="238"/>
      <c r="G97" s="238"/>
      <c r="H97" s="238"/>
      <c r="I97" s="238"/>
      <c r="J97" s="238"/>
      <c r="K97" s="238"/>
      <c r="L97" s="238"/>
      <c r="M97" s="238"/>
      <c r="N97" s="238"/>
      <c r="O97" s="238"/>
      <c r="P97" s="238"/>
      <c r="Q97" s="238"/>
    </row>
    <row r="98" ht="15.75" customHeight="1">
      <c r="C98" s="242"/>
      <c r="D98" s="242"/>
      <c r="E98" s="242"/>
      <c r="F98" s="238"/>
      <c r="G98" s="238"/>
      <c r="H98" s="238"/>
      <c r="I98" s="238"/>
      <c r="J98" s="238"/>
      <c r="K98" s="238"/>
      <c r="L98" s="238"/>
      <c r="M98" s="238"/>
      <c r="N98" s="238"/>
      <c r="O98" s="238"/>
      <c r="P98" s="238"/>
      <c r="Q98" s="238"/>
    </row>
    <row r="99" ht="15.75" customHeight="1">
      <c r="C99" s="242"/>
      <c r="D99" s="242"/>
      <c r="E99" s="242"/>
      <c r="F99" s="238"/>
      <c r="G99" s="238"/>
      <c r="H99" s="238"/>
      <c r="I99" s="238"/>
      <c r="J99" s="238"/>
      <c r="K99" s="238"/>
      <c r="L99" s="238"/>
      <c r="M99" s="238"/>
      <c r="N99" s="238"/>
      <c r="O99" s="238"/>
      <c r="P99" s="238"/>
      <c r="Q99" s="238"/>
    </row>
    <row r="100" ht="15.75" customHeight="1">
      <c r="C100" s="242"/>
      <c r="D100" s="242"/>
      <c r="E100" s="242"/>
      <c r="F100" s="238"/>
      <c r="G100" s="238"/>
      <c r="H100" s="238"/>
      <c r="I100" s="238"/>
      <c r="J100" s="238"/>
      <c r="K100" s="238"/>
      <c r="L100" s="238"/>
      <c r="M100" s="238"/>
      <c r="N100" s="238"/>
      <c r="O100" s="238"/>
      <c r="P100" s="238"/>
      <c r="Q100" s="238"/>
    </row>
    <row r="101" ht="15.75" customHeight="1">
      <c r="C101" s="242"/>
      <c r="D101" s="242"/>
      <c r="E101" s="242"/>
      <c r="F101" s="238"/>
      <c r="G101" s="238"/>
      <c r="H101" s="238"/>
      <c r="I101" s="238"/>
      <c r="J101" s="238"/>
      <c r="K101" s="238"/>
      <c r="L101" s="238"/>
      <c r="M101" s="238"/>
      <c r="N101" s="238"/>
      <c r="O101" s="238"/>
      <c r="P101" s="238"/>
      <c r="Q101" s="238"/>
    </row>
    <row r="102" ht="15.75" customHeight="1">
      <c r="C102" s="242"/>
      <c r="D102" s="242"/>
      <c r="E102" s="242"/>
      <c r="F102" s="238"/>
      <c r="G102" s="238"/>
      <c r="H102" s="238"/>
      <c r="I102" s="238"/>
      <c r="J102" s="238"/>
      <c r="K102" s="238"/>
      <c r="L102" s="238"/>
      <c r="M102" s="238"/>
      <c r="N102" s="238"/>
      <c r="O102" s="238"/>
      <c r="P102" s="238"/>
      <c r="Q102" s="238"/>
    </row>
    <row r="103" ht="15.75" customHeight="1">
      <c r="C103" s="242"/>
      <c r="D103" s="242"/>
      <c r="E103" s="242"/>
      <c r="F103" s="238"/>
      <c r="G103" s="238"/>
      <c r="H103" s="238"/>
      <c r="I103" s="238"/>
      <c r="J103" s="238"/>
      <c r="K103" s="238"/>
      <c r="L103" s="238"/>
      <c r="M103" s="238"/>
      <c r="N103" s="238"/>
      <c r="O103" s="238"/>
      <c r="P103" s="238"/>
      <c r="Q103" s="238"/>
    </row>
    <row r="104" ht="15.75" customHeight="1">
      <c r="C104" s="242"/>
      <c r="D104" s="242"/>
      <c r="E104" s="242"/>
      <c r="F104" s="238"/>
      <c r="G104" s="238"/>
      <c r="H104" s="238"/>
      <c r="I104" s="238"/>
      <c r="J104" s="238"/>
      <c r="K104" s="238"/>
      <c r="L104" s="238"/>
      <c r="M104" s="238"/>
      <c r="N104" s="238"/>
      <c r="O104" s="238"/>
      <c r="P104" s="238"/>
      <c r="Q104" s="238"/>
    </row>
    <row r="105" ht="15.75" customHeight="1">
      <c r="C105" s="242"/>
      <c r="D105" s="242"/>
      <c r="E105" s="242"/>
      <c r="F105" s="238"/>
      <c r="G105" s="238"/>
      <c r="H105" s="238"/>
      <c r="I105" s="238"/>
      <c r="J105" s="238"/>
      <c r="K105" s="238"/>
      <c r="L105" s="238"/>
      <c r="M105" s="238"/>
      <c r="N105" s="238"/>
      <c r="O105" s="238"/>
      <c r="P105" s="238"/>
      <c r="Q105" s="238"/>
    </row>
    <row r="106" ht="15.75" customHeight="1">
      <c r="C106" s="242"/>
      <c r="D106" s="242"/>
      <c r="E106" s="242"/>
      <c r="F106" s="238"/>
      <c r="G106" s="238"/>
      <c r="H106" s="238"/>
      <c r="I106" s="238"/>
      <c r="J106" s="238"/>
      <c r="K106" s="238"/>
      <c r="L106" s="238"/>
      <c r="M106" s="238"/>
      <c r="N106" s="238"/>
      <c r="O106" s="238"/>
      <c r="P106" s="238"/>
      <c r="Q106" s="238"/>
    </row>
    <row r="107" ht="15.75" customHeight="1">
      <c r="C107" s="242"/>
      <c r="D107" s="242"/>
      <c r="E107" s="242"/>
      <c r="F107" s="238"/>
      <c r="G107" s="238"/>
      <c r="H107" s="238"/>
      <c r="I107" s="238"/>
      <c r="J107" s="238"/>
      <c r="K107" s="238"/>
      <c r="L107" s="238"/>
      <c r="M107" s="238"/>
      <c r="N107" s="238"/>
      <c r="O107" s="238"/>
      <c r="P107" s="238"/>
      <c r="Q107" s="238"/>
    </row>
    <row r="108" ht="15.75" customHeight="1">
      <c r="C108" s="242"/>
      <c r="D108" s="242"/>
      <c r="E108" s="242"/>
      <c r="F108" s="238"/>
      <c r="G108" s="238"/>
      <c r="H108" s="238"/>
      <c r="I108" s="238"/>
      <c r="J108" s="238"/>
      <c r="K108" s="238"/>
      <c r="L108" s="238"/>
      <c r="M108" s="238"/>
      <c r="N108" s="238"/>
      <c r="O108" s="238"/>
      <c r="P108" s="238"/>
      <c r="Q108" s="238"/>
    </row>
    <row r="109" ht="15.75" customHeight="1">
      <c r="C109" s="242"/>
      <c r="D109" s="242"/>
      <c r="E109" s="242"/>
      <c r="F109" s="238"/>
      <c r="G109" s="238"/>
      <c r="H109" s="238"/>
      <c r="I109" s="238"/>
      <c r="J109" s="238"/>
      <c r="K109" s="238"/>
      <c r="L109" s="238"/>
      <c r="M109" s="238"/>
      <c r="N109" s="238"/>
      <c r="O109" s="238"/>
      <c r="P109" s="238"/>
      <c r="Q109" s="238"/>
    </row>
    <row r="110" ht="15.75" customHeight="1">
      <c r="C110" s="242"/>
      <c r="D110" s="242"/>
      <c r="E110" s="242"/>
      <c r="F110" s="238"/>
      <c r="G110" s="238"/>
      <c r="H110" s="238"/>
      <c r="I110" s="238"/>
      <c r="J110" s="238"/>
      <c r="K110" s="238"/>
      <c r="L110" s="238"/>
      <c r="M110" s="238"/>
      <c r="N110" s="238"/>
      <c r="O110" s="238"/>
      <c r="P110" s="238"/>
      <c r="Q110" s="238"/>
    </row>
    <row r="111" ht="15.75" customHeight="1">
      <c r="C111" s="242"/>
      <c r="D111" s="242"/>
      <c r="E111" s="242"/>
      <c r="F111" s="238"/>
      <c r="G111" s="238"/>
      <c r="H111" s="238"/>
      <c r="I111" s="238"/>
      <c r="J111" s="238"/>
      <c r="K111" s="238"/>
      <c r="L111" s="238"/>
      <c r="M111" s="238"/>
      <c r="N111" s="238"/>
      <c r="O111" s="238"/>
      <c r="P111" s="238"/>
      <c r="Q111" s="238"/>
    </row>
    <row r="112" ht="15.75" customHeight="1">
      <c r="A112" s="238"/>
      <c r="B112" s="238"/>
      <c r="C112" s="238"/>
      <c r="D112" s="238"/>
      <c r="E112" s="238"/>
      <c r="F112" s="238"/>
      <c r="G112" s="238"/>
      <c r="H112" s="238"/>
      <c r="I112" s="238"/>
      <c r="J112" s="238"/>
      <c r="K112" s="238"/>
      <c r="L112" s="238"/>
      <c r="M112" s="238"/>
      <c r="N112" s="238"/>
      <c r="O112" s="238"/>
      <c r="P112" s="238"/>
      <c r="Q112" s="238"/>
    </row>
    <row r="113" ht="15.75" customHeight="1">
      <c r="A113" s="238"/>
      <c r="B113" s="238"/>
      <c r="C113" s="238"/>
      <c r="D113" s="238"/>
      <c r="E113" s="238"/>
      <c r="F113" s="238"/>
      <c r="G113" s="238"/>
      <c r="H113" s="238"/>
      <c r="I113" s="238"/>
      <c r="J113" s="238"/>
      <c r="K113" s="238"/>
      <c r="L113" s="238"/>
      <c r="M113" s="238"/>
      <c r="N113" s="238"/>
      <c r="O113" s="238"/>
      <c r="P113" s="238"/>
      <c r="Q113" s="238"/>
    </row>
    <row r="114" ht="15.75" customHeight="1">
      <c r="A114" s="238"/>
      <c r="B114" s="238"/>
      <c r="C114" s="238"/>
      <c r="D114" s="238"/>
      <c r="E114" s="238"/>
      <c r="F114" s="238"/>
      <c r="G114" s="238"/>
      <c r="H114" s="238"/>
      <c r="I114" s="238"/>
      <c r="J114" s="238"/>
      <c r="K114" s="238"/>
      <c r="L114" s="238"/>
      <c r="M114" s="238"/>
      <c r="N114" s="238"/>
      <c r="O114" s="238"/>
      <c r="P114" s="238"/>
      <c r="Q114" s="238"/>
    </row>
    <row r="115" ht="15.75" customHeight="1">
      <c r="A115" s="238"/>
      <c r="B115" s="238"/>
      <c r="C115" s="238"/>
      <c r="D115" s="238"/>
      <c r="E115" s="238"/>
      <c r="F115" s="238"/>
      <c r="G115" s="238"/>
      <c r="H115" s="238"/>
      <c r="I115" s="238"/>
      <c r="J115" s="238"/>
      <c r="K115" s="238"/>
      <c r="L115" s="238"/>
      <c r="M115" s="238"/>
      <c r="N115" s="238"/>
      <c r="O115" s="238"/>
      <c r="P115" s="238"/>
      <c r="Q115" s="238"/>
    </row>
    <row r="116" ht="15.75" customHeight="1">
      <c r="A116" s="238"/>
      <c r="B116" s="238"/>
      <c r="C116" s="238"/>
      <c r="D116" s="238"/>
      <c r="E116" s="238"/>
      <c r="F116" s="238"/>
      <c r="G116" s="238"/>
      <c r="H116" s="238"/>
      <c r="I116" s="238"/>
      <c r="J116" s="238"/>
      <c r="K116" s="238"/>
      <c r="L116" s="238"/>
      <c r="M116" s="238"/>
      <c r="N116" s="238"/>
      <c r="O116" s="238"/>
      <c r="P116" s="238"/>
      <c r="Q116" s="238"/>
    </row>
    <row r="117" ht="15.75" customHeight="1">
      <c r="A117" s="238"/>
      <c r="B117" s="238"/>
      <c r="C117" s="238"/>
      <c r="D117" s="238"/>
      <c r="E117" s="238"/>
      <c r="F117" s="238"/>
      <c r="G117" s="238"/>
      <c r="H117" s="238"/>
      <c r="I117" s="238"/>
      <c r="J117" s="238"/>
      <c r="K117" s="238"/>
      <c r="L117" s="238"/>
      <c r="M117" s="238"/>
      <c r="N117" s="238"/>
      <c r="O117" s="238"/>
      <c r="P117" s="238"/>
      <c r="Q117" s="238"/>
    </row>
    <row r="118" ht="15.75" customHeight="1">
      <c r="A118" s="238"/>
      <c r="B118" s="238"/>
      <c r="C118" s="238"/>
      <c r="D118" s="238"/>
      <c r="E118" s="238"/>
      <c r="F118" s="238"/>
      <c r="G118" s="238"/>
      <c r="H118" s="238"/>
      <c r="I118" s="238"/>
      <c r="J118" s="238"/>
      <c r="K118" s="238"/>
      <c r="L118" s="238"/>
      <c r="M118" s="238"/>
      <c r="N118" s="238"/>
      <c r="O118" s="238"/>
      <c r="P118" s="238"/>
      <c r="Q118" s="238"/>
    </row>
    <row r="119" ht="15.75" customHeight="1">
      <c r="A119" s="238"/>
      <c r="B119" s="238"/>
      <c r="C119" s="238"/>
      <c r="D119" s="238"/>
      <c r="E119" s="238"/>
      <c r="F119" s="238"/>
      <c r="G119" s="238"/>
      <c r="H119" s="238"/>
      <c r="I119" s="238"/>
      <c r="J119" s="238"/>
      <c r="K119" s="238"/>
      <c r="L119" s="238"/>
      <c r="M119" s="238"/>
      <c r="N119" s="238"/>
      <c r="O119" s="238"/>
      <c r="P119" s="238"/>
      <c r="Q119" s="238"/>
    </row>
    <row r="120" ht="15.75" customHeight="1">
      <c r="A120" s="238"/>
      <c r="B120" s="238"/>
      <c r="C120" s="238"/>
      <c r="D120" s="238"/>
      <c r="E120" s="238"/>
      <c r="F120" s="238"/>
      <c r="G120" s="238"/>
      <c r="H120" s="238"/>
      <c r="I120" s="238"/>
      <c r="J120" s="238"/>
      <c r="K120" s="238"/>
      <c r="L120" s="238"/>
      <c r="M120" s="238"/>
      <c r="N120" s="238"/>
      <c r="O120" s="238"/>
      <c r="P120" s="238"/>
      <c r="Q120" s="238"/>
    </row>
    <row r="121" ht="15.75" customHeight="1">
      <c r="A121" s="238"/>
      <c r="B121" s="238"/>
      <c r="C121" s="238"/>
      <c r="D121" s="238"/>
      <c r="E121" s="238"/>
      <c r="F121" s="238"/>
      <c r="G121" s="238"/>
      <c r="H121" s="238"/>
      <c r="I121" s="238"/>
      <c r="J121" s="238"/>
      <c r="K121" s="238"/>
      <c r="L121" s="238"/>
      <c r="M121" s="238"/>
      <c r="N121" s="238"/>
      <c r="O121" s="238"/>
      <c r="P121" s="238"/>
      <c r="Q121" s="238"/>
    </row>
    <row r="122" ht="15.75" customHeight="1">
      <c r="A122" s="238"/>
      <c r="B122" s="238"/>
      <c r="C122" s="238"/>
      <c r="D122" s="238"/>
      <c r="E122" s="238"/>
      <c r="F122" s="238"/>
      <c r="G122" s="238"/>
      <c r="H122" s="238"/>
      <c r="I122" s="238"/>
      <c r="J122" s="238"/>
      <c r="K122" s="238"/>
      <c r="L122" s="238"/>
      <c r="M122" s="238"/>
      <c r="N122" s="238"/>
      <c r="O122" s="238"/>
      <c r="P122" s="238"/>
      <c r="Q122" s="238"/>
    </row>
    <row r="123" ht="15.75" customHeight="1">
      <c r="A123" s="238"/>
      <c r="B123" s="238"/>
      <c r="C123" s="238"/>
      <c r="D123" s="238"/>
      <c r="E123" s="238"/>
      <c r="F123" s="238"/>
      <c r="G123" s="238"/>
      <c r="H123" s="238"/>
      <c r="I123" s="238"/>
      <c r="J123" s="238"/>
      <c r="K123" s="238"/>
      <c r="L123" s="238"/>
      <c r="M123" s="238"/>
      <c r="N123" s="238"/>
      <c r="O123" s="238"/>
      <c r="P123" s="238"/>
      <c r="Q123" s="238"/>
    </row>
    <row r="124" ht="15.75" customHeight="1">
      <c r="A124" s="238"/>
      <c r="B124" s="238"/>
      <c r="C124" s="238"/>
      <c r="D124" s="238"/>
      <c r="E124" s="238"/>
      <c r="F124" s="238"/>
      <c r="G124" s="238"/>
      <c r="H124" s="238"/>
      <c r="I124" s="238"/>
      <c r="J124" s="238"/>
      <c r="K124" s="238"/>
      <c r="L124" s="238"/>
      <c r="M124" s="238"/>
      <c r="N124" s="238"/>
      <c r="O124" s="238"/>
      <c r="P124" s="238"/>
      <c r="Q124" s="238"/>
    </row>
    <row r="125" ht="15.75" customHeight="1">
      <c r="A125" s="238"/>
      <c r="B125" s="238"/>
      <c r="C125" s="238"/>
      <c r="D125" s="238"/>
      <c r="E125" s="238"/>
      <c r="F125" s="238"/>
      <c r="G125" s="238"/>
      <c r="H125" s="238"/>
      <c r="I125" s="238"/>
      <c r="J125" s="238"/>
      <c r="K125" s="238"/>
      <c r="L125" s="238"/>
      <c r="M125" s="238"/>
      <c r="N125" s="238"/>
      <c r="O125" s="238"/>
      <c r="P125" s="238"/>
      <c r="Q125" s="238"/>
    </row>
    <row r="126" ht="15.75" customHeight="1">
      <c r="A126" s="238"/>
      <c r="B126" s="238"/>
      <c r="C126" s="238"/>
      <c r="D126" s="238"/>
      <c r="E126" s="238"/>
      <c r="F126" s="238"/>
      <c r="G126" s="238"/>
      <c r="H126" s="238"/>
      <c r="I126" s="238"/>
      <c r="J126" s="238"/>
      <c r="K126" s="238"/>
      <c r="L126" s="238"/>
      <c r="M126" s="238"/>
      <c r="N126" s="238"/>
      <c r="O126" s="238"/>
      <c r="P126" s="238"/>
      <c r="Q126" s="238"/>
    </row>
    <row r="127" ht="15.75" customHeight="1">
      <c r="A127" s="238"/>
      <c r="B127" s="238"/>
      <c r="C127" s="238"/>
      <c r="D127" s="238"/>
      <c r="E127" s="238"/>
      <c r="F127" s="238"/>
      <c r="G127" s="238"/>
      <c r="H127" s="238"/>
      <c r="I127" s="238"/>
      <c r="J127" s="238"/>
      <c r="K127" s="238"/>
      <c r="L127" s="238"/>
      <c r="M127" s="238"/>
      <c r="N127" s="238"/>
      <c r="O127" s="238"/>
      <c r="P127" s="238"/>
      <c r="Q127" s="238"/>
    </row>
    <row r="128" ht="15.75" customHeight="1">
      <c r="A128" s="238"/>
      <c r="B128" s="238"/>
      <c r="C128" s="238"/>
      <c r="D128" s="238"/>
      <c r="E128" s="238"/>
      <c r="F128" s="238"/>
      <c r="G128" s="238"/>
      <c r="H128" s="238"/>
      <c r="I128" s="238"/>
      <c r="J128" s="238"/>
      <c r="K128" s="238"/>
      <c r="L128" s="238"/>
      <c r="M128" s="238"/>
      <c r="N128" s="238"/>
      <c r="O128" s="238"/>
      <c r="P128" s="238"/>
      <c r="Q128" s="238"/>
    </row>
    <row r="129" ht="15.75" customHeight="1">
      <c r="A129" s="238"/>
      <c r="B129" s="238"/>
      <c r="C129" s="238"/>
      <c r="D129" s="238"/>
      <c r="E129" s="238"/>
      <c r="F129" s="238"/>
      <c r="G129" s="238"/>
      <c r="H129" s="238"/>
      <c r="I129" s="238"/>
      <c r="J129" s="238"/>
      <c r="K129" s="238"/>
      <c r="L129" s="238"/>
      <c r="M129" s="238"/>
      <c r="N129" s="238"/>
      <c r="O129" s="238"/>
      <c r="P129" s="238"/>
      <c r="Q129" s="238"/>
    </row>
    <row r="130" ht="15.75" customHeight="1">
      <c r="A130" s="238"/>
      <c r="B130" s="238"/>
      <c r="C130" s="238"/>
      <c r="D130" s="238"/>
      <c r="E130" s="238"/>
      <c r="F130" s="238"/>
      <c r="G130" s="238"/>
      <c r="H130" s="238"/>
      <c r="I130" s="238"/>
      <c r="J130" s="238"/>
      <c r="K130" s="238"/>
      <c r="L130" s="238"/>
      <c r="M130" s="238"/>
      <c r="N130" s="238"/>
      <c r="O130" s="238"/>
      <c r="P130" s="238"/>
      <c r="Q130" s="238"/>
    </row>
    <row r="131" ht="15.75" customHeight="1">
      <c r="A131" s="238"/>
      <c r="B131" s="238"/>
      <c r="C131" s="238"/>
      <c r="D131" s="238"/>
      <c r="E131" s="238"/>
      <c r="F131" s="238"/>
      <c r="G131" s="238"/>
      <c r="H131" s="238"/>
      <c r="I131" s="238"/>
      <c r="J131" s="238"/>
      <c r="K131" s="238"/>
      <c r="L131" s="238"/>
      <c r="M131" s="238"/>
      <c r="N131" s="238"/>
      <c r="O131" s="238"/>
      <c r="P131" s="238"/>
      <c r="Q131" s="238"/>
    </row>
    <row r="132" ht="15.75" customHeight="1">
      <c r="A132" s="238"/>
      <c r="B132" s="238"/>
      <c r="C132" s="238"/>
      <c r="D132" s="238"/>
      <c r="E132" s="238"/>
      <c r="F132" s="238"/>
      <c r="G132" s="238"/>
      <c r="H132" s="238"/>
      <c r="I132" s="238"/>
      <c r="J132" s="238"/>
      <c r="K132" s="238"/>
      <c r="L132" s="238"/>
      <c r="M132" s="238"/>
      <c r="N132" s="238"/>
      <c r="O132" s="238"/>
      <c r="P132" s="238"/>
      <c r="Q132" s="238"/>
    </row>
    <row r="133" ht="15.75" customHeight="1">
      <c r="A133" s="238"/>
      <c r="B133" s="238"/>
      <c r="C133" s="238"/>
      <c r="D133" s="238"/>
      <c r="E133" s="238"/>
      <c r="F133" s="238"/>
      <c r="G133" s="238"/>
      <c r="H133" s="238"/>
      <c r="I133" s="238"/>
      <c r="J133" s="238"/>
      <c r="K133" s="238"/>
      <c r="L133" s="238"/>
      <c r="M133" s="238"/>
      <c r="N133" s="238"/>
      <c r="O133" s="238"/>
      <c r="P133" s="238"/>
      <c r="Q133" s="238"/>
    </row>
    <row r="134" ht="15.75" customHeight="1">
      <c r="A134" s="238"/>
      <c r="B134" s="238"/>
      <c r="C134" s="238"/>
      <c r="D134" s="238"/>
      <c r="E134" s="238"/>
      <c r="F134" s="238"/>
      <c r="G134" s="238"/>
      <c r="H134" s="238"/>
      <c r="I134" s="238"/>
      <c r="J134" s="238"/>
      <c r="K134" s="238"/>
      <c r="L134" s="238"/>
      <c r="M134" s="238"/>
      <c r="N134" s="238"/>
      <c r="O134" s="238"/>
      <c r="P134" s="238"/>
      <c r="Q134" s="238"/>
    </row>
    <row r="135" ht="15.75" customHeight="1">
      <c r="A135" s="238"/>
      <c r="B135" s="238"/>
      <c r="C135" s="238"/>
      <c r="D135" s="238"/>
      <c r="E135" s="238"/>
      <c r="F135" s="238"/>
      <c r="G135" s="238"/>
      <c r="H135" s="238"/>
      <c r="I135" s="238"/>
      <c r="J135" s="238"/>
      <c r="K135" s="238"/>
      <c r="L135" s="238"/>
      <c r="M135" s="238"/>
      <c r="N135" s="238"/>
      <c r="O135" s="238"/>
      <c r="P135" s="238"/>
      <c r="Q135" s="238"/>
    </row>
    <row r="136" ht="15.75" customHeight="1">
      <c r="A136" s="238"/>
      <c r="B136" s="238"/>
      <c r="C136" s="238"/>
      <c r="D136" s="238"/>
      <c r="E136" s="238"/>
      <c r="F136" s="238"/>
      <c r="G136" s="238"/>
      <c r="H136" s="238"/>
      <c r="I136" s="238"/>
      <c r="J136" s="238"/>
      <c r="K136" s="238"/>
      <c r="L136" s="238"/>
      <c r="M136" s="238"/>
      <c r="N136" s="238"/>
      <c r="O136" s="238"/>
      <c r="P136" s="238"/>
      <c r="Q136" s="238"/>
    </row>
    <row r="137" ht="15.75" customHeight="1">
      <c r="A137" s="238"/>
      <c r="B137" s="238"/>
      <c r="C137" s="238"/>
      <c r="D137" s="238"/>
      <c r="E137" s="238"/>
      <c r="F137" s="238"/>
      <c r="G137" s="238"/>
      <c r="H137" s="238"/>
      <c r="I137" s="238"/>
      <c r="J137" s="238"/>
      <c r="K137" s="238"/>
      <c r="L137" s="238"/>
      <c r="M137" s="238"/>
      <c r="N137" s="238"/>
      <c r="O137" s="238"/>
      <c r="P137" s="238"/>
      <c r="Q137" s="238"/>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sheetData>
  <customSheetViews>
    <customSheetView guid="{6F086F1D-1F81-42A7-91B7-D0B1885A341B}" filter="1" showAutoFilter="1">
      <autoFilter ref="$A$7:$D$14"/>
    </customSheetView>
  </customSheetViews>
  <mergeCells count="7">
    <mergeCell ref="A1:B3"/>
    <mergeCell ref="C1:F3"/>
    <mergeCell ref="G1:I1"/>
    <mergeCell ref="G2:I2"/>
    <mergeCell ref="G3:I3"/>
    <mergeCell ref="A4:F4"/>
    <mergeCell ref="G4:I4"/>
  </mergeCell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8.0"/>
    <col customWidth="1" min="2" max="2" width="12.38"/>
    <col customWidth="1" min="3" max="3" width="17.63"/>
    <col customWidth="1" min="4" max="4" width="17.5"/>
    <col customWidth="1" min="5" max="5" width="16.88"/>
    <col customWidth="1" min="6" max="6" width="16.38"/>
    <col customWidth="1" min="7" max="7" width="18.5"/>
    <col customWidth="1" min="9" max="9" width="15.75"/>
  </cols>
  <sheetData>
    <row r="1" ht="15.75" customHeight="1">
      <c r="A1" s="5"/>
      <c r="B1" s="4"/>
      <c r="C1" s="2" t="s">
        <v>107</v>
      </c>
      <c r="D1" s="4"/>
      <c r="E1" s="4"/>
      <c r="F1" s="4"/>
      <c r="G1" s="10"/>
      <c r="H1" s="11" t="s">
        <v>1</v>
      </c>
      <c r="I1" s="15"/>
      <c r="J1" s="13"/>
    </row>
    <row r="2" ht="15.75" customHeight="1">
      <c r="A2" s="9"/>
      <c r="C2" s="9"/>
      <c r="G2" s="3"/>
      <c r="H2" s="11" t="s">
        <v>2</v>
      </c>
      <c r="I2" s="15"/>
      <c r="J2" s="13"/>
    </row>
    <row r="3" ht="15.75" customHeight="1">
      <c r="A3" s="9"/>
      <c r="C3" s="9"/>
      <c r="G3" s="3"/>
      <c r="H3" s="11" t="s">
        <v>3</v>
      </c>
      <c r="I3" s="15"/>
      <c r="J3" s="13"/>
    </row>
    <row r="4" ht="15.75" customHeight="1">
      <c r="A4" s="12" t="s">
        <v>4</v>
      </c>
      <c r="B4" s="15"/>
      <c r="C4" s="15"/>
      <c r="D4" s="15"/>
      <c r="E4" s="15"/>
      <c r="F4" s="15"/>
      <c r="G4" s="13"/>
      <c r="H4" s="36" t="s">
        <v>5</v>
      </c>
      <c r="I4" s="15"/>
      <c r="J4" s="13"/>
    </row>
    <row r="5" ht="15.75" customHeight="1">
      <c r="A5" s="211"/>
      <c r="B5" s="211"/>
      <c r="C5" s="211"/>
      <c r="D5" s="211"/>
      <c r="E5" s="211"/>
      <c r="F5" s="211"/>
      <c r="G5" s="41"/>
      <c r="H5" s="41"/>
      <c r="I5" s="41"/>
    </row>
    <row r="6" ht="54.0" customHeight="1">
      <c r="A6" s="212" t="s">
        <v>16</v>
      </c>
      <c r="B6" s="212" t="s">
        <v>116</v>
      </c>
      <c r="C6" s="212" t="s">
        <v>21</v>
      </c>
      <c r="D6" s="212" t="s">
        <v>22</v>
      </c>
      <c r="E6" s="213" t="s">
        <v>120</v>
      </c>
      <c r="F6" s="213" t="s">
        <v>121</v>
      </c>
      <c r="G6" s="213" t="s">
        <v>122</v>
      </c>
      <c r="H6" s="213" t="s">
        <v>123</v>
      </c>
      <c r="I6" s="213" t="s">
        <v>124</v>
      </c>
      <c r="J6" s="213" t="s">
        <v>125</v>
      </c>
    </row>
    <row r="7" ht="18.75" customHeight="1">
      <c r="A7" s="214"/>
      <c r="B7" s="214" t="s">
        <v>126</v>
      </c>
      <c r="C7" s="215">
        <v>7.0</v>
      </c>
      <c r="D7" s="216"/>
      <c r="E7" s="217"/>
      <c r="F7" s="218"/>
      <c r="G7" s="217"/>
      <c r="H7" s="217"/>
      <c r="I7" s="219"/>
      <c r="J7" s="219"/>
    </row>
    <row r="8" ht="18.75" customHeight="1">
      <c r="A8" s="220"/>
      <c r="B8" s="220"/>
      <c r="C8" s="216"/>
      <c r="D8" s="216"/>
      <c r="E8" s="217"/>
      <c r="F8" s="218"/>
      <c r="G8" s="217"/>
      <c r="H8" s="217"/>
      <c r="I8" s="219"/>
      <c r="J8" s="219"/>
    </row>
    <row r="9" ht="18.75" customHeight="1">
      <c r="A9" s="220"/>
      <c r="B9" s="220"/>
      <c r="C9" s="216"/>
      <c r="D9" s="216"/>
      <c r="E9" s="217"/>
      <c r="F9" s="218"/>
      <c r="G9" s="217"/>
      <c r="H9" s="217"/>
      <c r="I9" s="219"/>
      <c r="J9" s="219"/>
    </row>
    <row r="10" ht="15.75" customHeight="1">
      <c r="A10" s="220"/>
      <c r="B10" s="220"/>
      <c r="C10" s="216"/>
      <c r="D10" s="216"/>
      <c r="E10" s="217" t="s">
        <v>127</v>
      </c>
      <c r="F10" s="217"/>
      <c r="G10" s="217"/>
      <c r="H10" s="217"/>
      <c r="I10" s="219"/>
      <c r="J10" s="219"/>
    </row>
    <row r="11" ht="15.75" customHeight="1">
      <c r="A11" s="220"/>
      <c r="B11" s="220"/>
      <c r="C11" s="216"/>
      <c r="D11" s="216"/>
      <c r="E11" s="217"/>
      <c r="F11" s="217"/>
      <c r="G11" s="217"/>
      <c r="H11" s="217"/>
      <c r="I11" s="219"/>
      <c r="J11" s="219"/>
    </row>
    <row r="12" ht="15.75" customHeight="1">
      <c r="A12" s="220"/>
      <c r="B12" s="220"/>
      <c r="C12" s="216"/>
      <c r="D12" s="216"/>
      <c r="E12" s="217"/>
      <c r="F12" s="219"/>
      <c r="G12" s="217"/>
      <c r="H12" s="217"/>
      <c r="I12" s="219"/>
      <c r="J12" s="219"/>
    </row>
    <row r="13" ht="15.75" customHeight="1">
      <c r="A13" s="220"/>
      <c r="B13" s="220"/>
      <c r="C13" s="216"/>
      <c r="D13" s="216"/>
      <c r="E13" s="217"/>
      <c r="F13" s="221"/>
      <c r="G13" s="217"/>
      <c r="H13" s="217"/>
      <c r="I13" s="221"/>
      <c r="J13" s="221"/>
    </row>
    <row r="14" ht="15.75" customHeight="1">
      <c r="A14" s="220"/>
      <c r="B14" s="220"/>
      <c r="C14" s="216"/>
      <c r="D14" s="216"/>
      <c r="E14" s="222"/>
      <c r="F14" s="221"/>
      <c r="G14" s="217"/>
      <c r="H14" s="222"/>
      <c r="I14" s="221"/>
      <c r="J14" s="221"/>
    </row>
    <row r="15" ht="15.75" customHeight="1">
      <c r="A15" s="220"/>
      <c r="B15" s="220"/>
      <c r="C15" s="216"/>
      <c r="D15" s="216"/>
      <c r="E15" s="222"/>
      <c r="F15" s="222"/>
      <c r="G15" s="217"/>
      <c r="H15" s="222"/>
      <c r="I15" s="221"/>
      <c r="J15" s="221"/>
    </row>
    <row r="16" ht="15.75" customHeight="1">
      <c r="A16" s="220"/>
      <c r="B16" s="220"/>
      <c r="C16" s="216"/>
      <c r="D16" s="216"/>
      <c r="E16" s="222"/>
      <c r="F16" s="221"/>
      <c r="G16" s="217"/>
      <c r="H16" s="222"/>
      <c r="I16" s="221"/>
      <c r="J16" s="221"/>
    </row>
    <row r="17" ht="15.75" customHeight="1">
      <c r="A17" s="220"/>
      <c r="B17" s="220"/>
      <c r="C17" s="216"/>
      <c r="D17" s="216"/>
      <c r="E17" s="222"/>
      <c r="F17" s="221"/>
      <c r="G17" s="217"/>
      <c r="H17" s="222"/>
      <c r="I17" s="221"/>
      <c r="J17" s="221"/>
    </row>
    <row r="18" ht="15.75" customHeight="1">
      <c r="A18" s="220"/>
      <c r="B18" s="220"/>
      <c r="C18" s="216"/>
      <c r="D18" s="216"/>
      <c r="E18" s="222"/>
      <c r="F18" s="222"/>
      <c r="G18" s="217"/>
      <c r="H18" s="222"/>
      <c r="I18" s="221"/>
      <c r="J18" s="221"/>
    </row>
    <row r="19" ht="15.75" customHeight="1">
      <c r="A19" s="220"/>
      <c r="B19" s="220"/>
      <c r="C19" s="216"/>
      <c r="D19" s="216"/>
      <c r="E19" s="222"/>
      <c r="F19" s="222"/>
      <c r="G19" s="217"/>
      <c r="H19" s="222"/>
      <c r="I19" s="221"/>
      <c r="J19" s="221"/>
    </row>
    <row r="20" ht="15.75" customHeight="1">
      <c r="A20" s="220"/>
      <c r="B20" s="220"/>
      <c r="C20" s="216"/>
      <c r="D20" s="216"/>
      <c r="E20" s="222"/>
      <c r="F20" s="221"/>
      <c r="G20" s="217"/>
      <c r="H20" s="222"/>
      <c r="I20" s="221"/>
      <c r="J20" s="221"/>
    </row>
    <row r="21" ht="15.75" customHeight="1">
      <c r="A21" s="220"/>
      <c r="B21" s="220"/>
      <c r="C21" s="216"/>
      <c r="D21" s="216"/>
      <c r="E21" s="222"/>
      <c r="F21" s="221"/>
      <c r="G21" s="217"/>
      <c r="H21" s="222"/>
      <c r="I21" s="221"/>
      <c r="J21" s="221"/>
    </row>
    <row r="22" ht="15.75" customHeight="1">
      <c r="A22" s="220"/>
      <c r="B22" s="220"/>
      <c r="C22" s="216"/>
      <c r="D22" s="216"/>
      <c r="E22" s="222"/>
      <c r="F22" s="221"/>
      <c r="G22" s="217"/>
      <c r="H22" s="222"/>
      <c r="I22" s="221"/>
      <c r="J22" s="221"/>
    </row>
    <row r="23" ht="15.75" customHeight="1">
      <c r="A23" s="220"/>
      <c r="B23" s="220"/>
      <c r="C23" s="216"/>
      <c r="D23" s="216"/>
      <c r="E23" s="222"/>
      <c r="F23" s="221"/>
      <c r="G23" s="217"/>
      <c r="H23" s="222"/>
      <c r="I23" s="221"/>
      <c r="J23" s="221"/>
    </row>
    <row r="24" ht="15.75" customHeight="1">
      <c r="A24" s="220"/>
      <c r="B24" s="220"/>
      <c r="C24" s="216"/>
      <c r="D24" s="216"/>
      <c r="E24" s="222"/>
      <c r="F24" s="221"/>
      <c r="G24" s="219"/>
      <c r="H24" s="222"/>
      <c r="I24" s="221"/>
      <c r="J24" s="221"/>
    </row>
    <row r="25" ht="15.75" customHeight="1">
      <c r="A25" s="220"/>
      <c r="B25" s="220"/>
      <c r="C25" s="216"/>
      <c r="D25" s="216"/>
      <c r="E25" s="222"/>
      <c r="F25" s="221"/>
      <c r="G25" s="219"/>
      <c r="H25" s="221"/>
      <c r="I25" s="221"/>
      <c r="J25" s="221"/>
    </row>
    <row r="26" ht="15.75" customHeight="1">
      <c r="A26" s="220"/>
      <c r="B26" s="220"/>
      <c r="C26" s="216"/>
      <c r="D26" s="216"/>
      <c r="E26" s="222"/>
      <c r="F26" s="221"/>
      <c r="G26" s="219"/>
      <c r="H26" s="221"/>
      <c r="I26" s="221"/>
      <c r="J26" s="221"/>
    </row>
    <row r="27" ht="15.75" customHeight="1">
      <c r="A27" s="220"/>
      <c r="B27" s="220"/>
      <c r="C27" s="216"/>
      <c r="D27" s="216"/>
      <c r="E27" s="222"/>
      <c r="F27" s="221"/>
      <c r="G27" s="219"/>
      <c r="H27" s="221"/>
      <c r="I27" s="221"/>
      <c r="J27" s="221"/>
    </row>
    <row r="28" ht="15.75" customHeight="1">
      <c r="A28" s="220"/>
      <c r="B28" s="220"/>
      <c r="C28" s="216"/>
      <c r="D28" s="216"/>
      <c r="E28" s="222"/>
      <c r="F28" s="221"/>
      <c r="G28" s="219"/>
      <c r="H28" s="221"/>
      <c r="I28" s="221"/>
      <c r="J28" s="221"/>
    </row>
    <row r="29" ht="15.75" customHeight="1">
      <c r="A29" s="220"/>
      <c r="B29" s="220"/>
      <c r="C29" s="216"/>
      <c r="D29" s="216"/>
      <c r="E29" s="223"/>
      <c r="F29" s="224"/>
      <c r="G29" s="224"/>
      <c r="H29" s="224"/>
      <c r="I29" s="224"/>
      <c r="J29" s="224"/>
    </row>
    <row r="30" ht="15.75" customHeight="1">
      <c r="A30" s="220"/>
      <c r="B30" s="220"/>
      <c r="C30" s="216"/>
      <c r="D30" s="216"/>
      <c r="E30" s="223"/>
      <c r="F30" s="224"/>
      <c r="G30" s="224"/>
      <c r="H30" s="224"/>
      <c r="I30" s="224"/>
      <c r="J30" s="224"/>
    </row>
    <row r="31" ht="15.75" customHeight="1">
      <c r="A31" s="220"/>
      <c r="B31" s="220"/>
      <c r="C31" s="216"/>
      <c r="D31" s="216"/>
      <c r="E31" s="223"/>
      <c r="F31" s="224"/>
      <c r="G31" s="224"/>
      <c r="H31" s="224"/>
      <c r="I31" s="224"/>
      <c r="J31" s="224"/>
    </row>
    <row r="32" ht="15.75" customHeight="1">
      <c r="A32" s="220"/>
      <c r="B32" s="220"/>
      <c r="C32" s="216"/>
      <c r="D32" s="216"/>
      <c r="E32" s="223"/>
      <c r="F32" s="224"/>
      <c r="G32" s="224"/>
      <c r="H32" s="224"/>
      <c r="I32" s="224"/>
      <c r="J32" s="224"/>
    </row>
    <row r="33" ht="15.75" customHeight="1">
      <c r="A33" s="220"/>
      <c r="B33" s="220"/>
      <c r="C33" s="216"/>
      <c r="D33" s="216"/>
      <c r="E33" s="223"/>
      <c r="F33" s="224"/>
      <c r="G33" s="224"/>
      <c r="H33" s="224"/>
      <c r="I33" s="224"/>
      <c r="J33" s="224"/>
    </row>
    <row r="34" ht="15.75" customHeight="1">
      <c r="A34" s="220"/>
      <c r="B34" s="220"/>
      <c r="C34" s="216"/>
      <c r="D34" s="216"/>
      <c r="E34" s="223"/>
      <c r="F34" s="224"/>
      <c r="G34" s="224"/>
      <c r="H34" s="224"/>
      <c r="I34" s="224"/>
      <c r="J34" s="224"/>
    </row>
    <row r="35" ht="15.75" customHeight="1">
      <c r="A35" s="220"/>
      <c r="B35" s="220"/>
      <c r="C35" s="216"/>
      <c r="D35" s="216"/>
      <c r="E35" s="223"/>
      <c r="F35" s="224"/>
      <c r="G35" s="224"/>
      <c r="H35" s="224"/>
      <c r="I35" s="224"/>
      <c r="J35" s="224"/>
    </row>
    <row r="36" ht="15.75" customHeight="1">
      <c r="A36" s="220"/>
      <c r="B36" s="220"/>
      <c r="C36" s="216"/>
      <c r="D36" s="216"/>
      <c r="E36" s="223"/>
      <c r="F36" s="224"/>
      <c r="G36" s="224"/>
      <c r="H36" s="223"/>
      <c r="I36" s="224"/>
      <c r="J36" s="224"/>
    </row>
    <row r="37" ht="15.75" customHeight="1">
      <c r="A37" s="220"/>
      <c r="B37" s="220"/>
      <c r="C37" s="216"/>
      <c r="D37" s="216"/>
      <c r="E37" s="223"/>
      <c r="F37" s="224"/>
      <c r="G37" s="224"/>
      <c r="H37" s="224"/>
      <c r="I37" s="224"/>
      <c r="J37" s="224"/>
    </row>
    <row r="38" ht="15.75" customHeight="1">
      <c r="A38" s="220"/>
      <c r="B38" s="220"/>
      <c r="C38" s="216"/>
      <c r="D38" s="225"/>
      <c r="E38" s="223"/>
      <c r="F38" s="224"/>
      <c r="G38" s="224"/>
      <c r="H38" s="224"/>
      <c r="I38" s="224"/>
      <c r="J38" s="224"/>
    </row>
    <row r="39" ht="15.75" customHeight="1">
      <c r="A39" s="220"/>
      <c r="B39" s="220"/>
      <c r="C39" s="216"/>
      <c r="D39" s="226"/>
      <c r="E39" s="223"/>
      <c r="F39" s="224"/>
      <c r="G39" s="224"/>
      <c r="H39" s="224"/>
      <c r="I39" s="224"/>
      <c r="J39" s="224"/>
    </row>
    <row r="40" ht="15.75" customHeight="1">
      <c r="A40" s="226"/>
      <c r="B40" s="226"/>
      <c r="C40" s="216"/>
      <c r="D40" s="226"/>
      <c r="E40" s="223"/>
      <c r="F40" s="224"/>
      <c r="G40" s="224"/>
      <c r="H40" s="224"/>
      <c r="I40" s="224"/>
      <c r="J40" s="224"/>
    </row>
    <row r="41" ht="15.75" customHeight="1">
      <c r="A41" s="226"/>
      <c r="B41" s="226"/>
      <c r="C41" s="216"/>
      <c r="D41" s="226"/>
      <c r="E41" s="223"/>
      <c r="F41" s="224"/>
      <c r="G41" s="224"/>
      <c r="H41" s="224"/>
      <c r="I41" s="224"/>
      <c r="J41" s="224"/>
    </row>
    <row r="42" ht="15.75" customHeight="1">
      <c r="A42" s="227"/>
      <c r="B42" s="227"/>
      <c r="C42" s="216"/>
      <c r="D42" s="227"/>
      <c r="E42" s="223"/>
      <c r="F42" s="224"/>
      <c r="G42" s="224"/>
      <c r="H42" s="223"/>
      <c r="I42" s="224"/>
      <c r="J42" s="224"/>
    </row>
    <row r="43" ht="15.75" customHeight="1">
      <c r="A43" s="227"/>
      <c r="B43" s="227"/>
      <c r="C43" s="216"/>
      <c r="D43" s="227"/>
      <c r="E43" s="224"/>
      <c r="F43" s="228"/>
      <c r="G43" s="224"/>
      <c r="H43" s="224"/>
      <c r="I43" s="224"/>
      <c r="J43" s="224"/>
    </row>
    <row r="44" ht="15.75" customHeight="1">
      <c r="A44" s="227"/>
      <c r="B44" s="227"/>
      <c r="C44" s="216"/>
      <c r="D44" s="227"/>
      <c r="E44" s="228"/>
      <c r="F44" s="228"/>
      <c r="G44" s="224"/>
      <c r="H44" s="224"/>
      <c r="I44" s="224"/>
      <c r="J44" s="224"/>
    </row>
    <row r="45" ht="15.75" customHeight="1">
      <c r="A45" s="227"/>
      <c r="B45" s="227"/>
      <c r="C45" s="216"/>
      <c r="D45" s="227"/>
      <c r="E45" s="228"/>
      <c r="F45" s="228"/>
      <c r="G45" s="224"/>
      <c r="H45" s="224"/>
      <c r="I45" s="224"/>
      <c r="J45" s="224"/>
    </row>
    <row r="46" ht="15.75" customHeight="1">
      <c r="A46" s="226"/>
      <c r="B46" s="226"/>
      <c r="C46" s="216"/>
      <c r="D46" s="226"/>
      <c r="E46" s="228"/>
      <c r="F46" s="228"/>
      <c r="G46" s="224"/>
      <c r="H46" s="224"/>
      <c r="I46" s="224"/>
      <c r="J46" s="224"/>
    </row>
    <row r="47" ht="15.75" customHeight="1">
      <c r="A47" s="226"/>
      <c r="B47" s="226"/>
      <c r="C47" s="226"/>
      <c r="D47" s="226"/>
      <c r="E47" s="228"/>
      <c r="F47" s="228"/>
      <c r="G47" s="224"/>
      <c r="H47" s="224"/>
      <c r="I47" s="224"/>
      <c r="J47" s="224"/>
    </row>
    <row r="48" ht="15.75" customHeight="1">
      <c r="A48" s="226"/>
      <c r="B48" s="226"/>
      <c r="C48" s="226"/>
      <c r="D48" s="226"/>
      <c r="E48" s="228"/>
      <c r="F48" s="228"/>
      <c r="G48" s="224"/>
      <c r="H48" s="224"/>
      <c r="I48" s="224"/>
      <c r="J48" s="224"/>
    </row>
    <row r="49" ht="15.75" customHeight="1">
      <c r="A49" s="226"/>
      <c r="B49" s="226"/>
      <c r="C49" s="226"/>
      <c r="D49" s="226"/>
      <c r="E49" s="228"/>
      <c r="F49" s="228"/>
      <c r="G49" s="224"/>
      <c r="H49" s="224"/>
      <c r="I49" s="224"/>
      <c r="J49" s="224"/>
    </row>
    <row r="50" ht="15.75" customHeight="1">
      <c r="A50" s="226"/>
      <c r="B50" s="226"/>
      <c r="C50" s="226"/>
      <c r="D50" s="226"/>
      <c r="E50" s="228"/>
      <c r="F50" s="228"/>
      <c r="G50" s="224"/>
      <c r="H50" s="224"/>
      <c r="I50" s="224"/>
      <c r="J50" s="224"/>
    </row>
    <row r="51" ht="15.75" customHeight="1">
      <c r="A51" s="226"/>
      <c r="B51" s="226"/>
      <c r="C51" s="226"/>
      <c r="D51" s="226"/>
      <c r="E51" s="228"/>
      <c r="F51" s="228"/>
      <c r="G51" s="224"/>
      <c r="H51" s="224"/>
      <c r="I51" s="224"/>
      <c r="J51" s="224"/>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0603825-6846-4218-B292-449A3DAED5E0}" filter="1" showAutoFilter="1">
      <autoFilter ref="$A$6:$I$42"/>
    </customSheetView>
  </customSheetViews>
  <mergeCells count="7">
    <mergeCell ref="A1:B3"/>
    <mergeCell ref="C1:G3"/>
    <mergeCell ref="H1:J1"/>
    <mergeCell ref="H2:J2"/>
    <mergeCell ref="H3:J3"/>
    <mergeCell ref="A4:G4"/>
    <mergeCell ref="H4:J4"/>
  </mergeCells>
  <conditionalFormatting sqref="F9:G9">
    <cfRule type="cellIs" dxfId="3" priority="1" operator="between">
      <formula>2</formula>
      <formula>5</formula>
    </cfRule>
  </conditionalFormatting>
  <dataValidations>
    <dataValidation type="list" allowBlank="1" sqref="I8:I25">
      <formula1>"Yes,No"</formula1>
    </dataValidation>
  </dataValidations>
  <drawing r:id="rId1"/>
</worksheet>
</file>