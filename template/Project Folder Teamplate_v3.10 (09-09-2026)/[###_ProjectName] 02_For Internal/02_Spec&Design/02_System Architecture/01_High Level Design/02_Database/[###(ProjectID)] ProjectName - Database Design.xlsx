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5"/>
    <sheet state="visible" name="Tables List" sheetId="2" r:id="rId6"/>
    <sheet state="visible" name="ER Diagram" sheetId="3" r:id="rId7"/>
    <sheet state="visible" name="Table_name" sheetId="4" r:id="rId8"/>
    <sheet state="visible" name="SampleUser_Table" sheetId="5" r:id="rId9"/>
    <sheet state="visible" name="Appendix" sheetId="6" r:id="rId10"/>
  </sheets>
  <definedNames/>
  <calcPr/>
</workbook>
</file>

<file path=xl/sharedStrings.xml><?xml version="1.0" encoding="utf-8"?>
<sst xmlns="http://schemas.openxmlformats.org/spreadsheetml/2006/main" count="250" uniqueCount="134">
  <si>
    <t>Database Design</t>
  </si>
  <si>
    <t>No: BM-QT-1701-28</t>
  </si>
  <si>
    <t>Version: 1.1</t>
  </si>
  <si>
    <t>Issue Date: 22/09/2026</t>
  </si>
  <si>
    <t>SUN ASTERISK VIETNAM CO., LTD</t>
  </si>
  <si>
    <t>ISO/IEC 27001:2013&amp;ISO 9001:2015</t>
  </si>
  <si>
    <t>ER図
ER Diagram</t>
  </si>
  <si>
    <t>システム名
System Name</t>
  </si>
  <si>
    <t>Tables list</t>
  </si>
  <si>
    <t>No</t>
  </si>
  <si>
    <t>HISTORY OF CHANGES</t>
  </si>
  <si>
    <t>論理テーブル名
Logical table name</t>
  </si>
  <si>
    <t>スキーマ
Schema</t>
  </si>
  <si>
    <t>Version</t>
  </si>
  <si>
    <t>カテゴリ
Category</t>
  </si>
  <si>
    <t>作成日
Created date</t>
  </si>
  <si>
    <t>アクション
Action</t>
  </si>
  <si>
    <t>対象シート
Sheet</t>
  </si>
  <si>
    <t>物理テーブル名
Physics table name</t>
  </si>
  <si>
    <t>スキーマ名
Schema name</t>
  </si>
  <si>
    <t>詳細
Detail Description</t>
  </si>
  <si>
    <t>変更内容
Description of changes</t>
  </si>
  <si>
    <t>備考
Note</t>
  </si>
  <si>
    <t>Physics table name</t>
  </si>
  <si>
    <t>更新日
Updated Date</t>
  </si>
  <si>
    <t>作成者
Creator</t>
  </si>
  <si>
    <t>ステータス
Status</t>
  </si>
  <si>
    <t>更新者
Updated by</t>
  </si>
  <si>
    <t>文字セット
CHARACTER SET</t>
  </si>
  <si>
    <t>概要
Overview</t>
  </si>
  <si>
    <t>JP</t>
  </si>
  <si>
    <t>EN</t>
  </si>
  <si>
    <t>VN</t>
  </si>
  <si>
    <t>更新日
Updated date</t>
  </si>
  <si>
    <t>common</t>
  </si>
  <si>
    <t>Ver 0.1</t>
  </si>
  <si>
    <t xml:space="preserve">
カラム定義
Column definition</t>
  </si>
  <si>
    <t>master</t>
  </si>
  <si>
    <t>Add new</t>
  </si>
  <si>
    <t>No.</t>
  </si>
  <si>
    <t>History of changes</t>
  </si>
  <si>
    <t xml:space="preserve">Create New </t>
  </si>
  <si>
    <t>キー
key</t>
  </si>
  <si>
    <t>Users</t>
  </si>
  <si>
    <t>論理名
Logical name</t>
  </si>
  <si>
    <t>物理名
Physic name</t>
  </si>
  <si>
    <t>データ型
Data Type</t>
  </si>
  <si>
    <t>サイズ（桁数）
size (_x0008_length)</t>
  </si>
  <si>
    <t>Null_x0008_不可
Not Null</t>
  </si>
  <si>
    <t>Nguyen Van A</t>
  </si>
  <si>
    <t>デフォルト・Ext
Default</t>
  </si>
  <si>
    <t>2</t>
  </si>
  <si>
    <t>備考・特記事項
Note</t>
  </si>
  <si>
    <t>Ver 1.1</t>
  </si>
  <si>
    <t xml:space="preserve">
Supermarket management system</t>
  </si>
  <si>
    <t>All sheet</t>
  </si>
  <si>
    <t>users</t>
  </si>
  <si>
    <t>Update mã biểu mẫu theo tiêu chuẩn ISO.</t>
  </si>
  <si>
    <t>22/09/2026</t>
  </si>
  <si>
    <t>utf8mb4</t>
  </si>
  <si>
    <t>Modify</t>
  </si>
  <si>
    <t>User information management</t>
  </si>
  <si>
    <t>PRI</t>
  </si>
  <si>
    <t>ユーザーID</t>
  </si>
  <si>
    <t>user id</t>
  </si>
  <si>
    <t>user_id</t>
  </si>
  <si>
    <t>INT</t>
  </si>
  <si>
    <t>N/A</t>
  </si>
  <si>
    <t>○ Yes</t>
  </si>
  <si>
    <t>役割ID</t>
  </si>
  <si>
    <t>role id</t>
  </si>
  <si>
    <t>role_id</t>
  </si>
  <si>
    <t>ユーザー名</t>
  </si>
  <si>
    <t>user name</t>
  </si>
  <si>
    <t>tên user</t>
  </si>
  <si>
    <t>user_name</t>
  </si>
  <si>
    <t>インデックス情報
Index Info</t>
  </si>
  <si>
    <t>VARCHAR</t>
  </si>
  <si>
    <t>パスワード</t>
  </si>
  <si>
    <t>password</t>
  </si>
  <si>
    <t>mật khẩu</t>
  </si>
  <si>
    <t>インデックス名
Index Name</t>
  </si>
  <si>
    <t>メールアドレス</t>
  </si>
  <si>
    <t>email</t>
  </si>
  <si>
    <t>カラム名
Column Name</t>
  </si>
  <si>
    <t>100</t>
  </si>
  <si>
    <t>主キー
Primary key</t>
  </si>
  <si>
    <t>部門</t>
  </si>
  <si>
    <t>department</t>
  </si>
  <si>
    <t>bộ phận</t>
  </si>
  <si>
    <t>ユニーク
Unique</t>
  </si>
  <si>
    <t>× No</t>
  </si>
  <si>
    <t>Null</t>
  </si>
  <si>
    <t>登録日時</t>
  </si>
  <si>
    <t>created date</t>
  </si>
  <si>
    <t>Ngày giờ đăng ký</t>
  </si>
  <si>
    <t>created_at</t>
  </si>
  <si>
    <t>TIMESTAMP</t>
  </si>
  <si>
    <t>更新日時</t>
  </si>
  <si>
    <t>updated date</t>
  </si>
  <si>
    <t>Ngày giờ cập nhật</t>
  </si>
  <si>
    <t>updated_at</t>
  </si>
  <si>
    <t>削除日時</t>
  </si>
  <si>
    <t>deleted date</t>
  </si>
  <si>
    <t>Ngày giờ xóa</t>
  </si>
  <si>
    <t>deleted_at</t>
  </si>
  <si>
    <t>Member list</t>
  </si>
  <si>
    <t>1</t>
  </si>
  <si>
    <t>#</t>
  </si>
  <si>
    <t>index user id</t>
  </si>
  <si>
    <t>タイトル
Title</t>
  </si>
  <si>
    <t>名前
Name</t>
  </si>
  <si>
    <t>ポジション
Position</t>
  </si>
  <si>
    <t>外部キー情報
Foreign key Info</t>
  </si>
  <si>
    <t>外部キー名
Foreign key Name</t>
  </si>
  <si>
    <t xml:space="preserve">
外部テーブル
Foreign Table</t>
  </si>
  <si>
    <t xml:space="preserve">
外部カラム
 Foreign Column </t>
  </si>
  <si>
    <t>BrSE</t>
  </si>
  <si>
    <t>Update</t>
  </si>
  <si>
    <t>Delete</t>
  </si>
  <si>
    <t>説明
Description</t>
  </si>
  <si>
    <t>transaction</t>
  </si>
  <si>
    <t>定義ステータス
Define stastus</t>
  </si>
  <si>
    <t>タイトル
Title_EN</t>
  </si>
  <si>
    <t>説明
Title_JP</t>
  </si>
  <si>
    <t>Approved</t>
  </si>
  <si>
    <t>承認済み</t>
  </si>
  <si>
    <t>Decision (provisional)</t>
  </si>
  <si>
    <t>決定（暫定）</t>
  </si>
  <si>
    <t>変更</t>
  </si>
  <si>
    <t>Undecided</t>
  </si>
  <si>
    <t>未決</t>
  </si>
  <si>
    <t>Cancelled</t>
  </si>
  <si>
    <t>廃止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</si>
</sst>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/mm/dd"/>
  </numFmts>
  <fonts count="21">
    <font>
      <sz val="10.0"/>
      <color rgb="FF000000"/>
      <name val="Arial"/>
      <scheme val="minor"/>
    </font>
    <font>
      <b/>
      <sz val="18.0"/>
      <color theme="1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  <font>
      <b/>
      <sz val="10.0"/>
      <color theme="1"/>
      <name val="Times New Roman"/>
    </font>
    <font>
      <b/>
      <sz val="14.0"/>
      <color theme="1"/>
      <name val="Roboto"/>
    </font>
    <font>
      <sz val="10.0"/>
      <color rgb="FF000000"/>
      <name val="Arial"/>
    </font>
    <font>
      <b/>
      <sz val="14.0"/>
      <color theme="1"/>
      <name val="Arial"/>
    </font>
    <font>
      <sz val="10.0"/>
      <color theme="1"/>
      <name val="Arial"/>
    </font>
    <font>
      <b/>
      <color theme="1"/>
      <name val="Roboto"/>
    </font>
    <font>
      <b/>
      <sz val="12.0"/>
      <color theme="1"/>
      <name val="&quot;Times New Roman&quot;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Roboto"/>
    </font>
    <font>
      <b/>
      <sz val="12.0"/>
      <color theme="1"/>
      <name val="Arial"/>
    </font>
    <font>
      <b/>
      <sz val="10.0"/>
      <color rgb="FF000000"/>
      <name val="Arial"/>
    </font>
    <font>
      <u/>
      <sz val="10.0"/>
      <color rgb="FF1155CC"/>
      <name val="Arial"/>
    </font>
    <font>
      <b/>
      <sz val="10.0"/>
      <color theme="1"/>
      <name val="Roboto"/>
    </font>
    <font>
      <b/>
      <sz val="14.0"/>
      <color rgb="FF000000"/>
      <name val="Times New Roman"/>
    </font>
    <font>
      <sz val="8.0"/>
      <color rgb="FF000000"/>
      <name val="Meiryo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5B95F9"/>
        <bgColor rgb="FF5B95F9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vertical="center"/>
    </xf>
    <xf borderId="3" fillId="0" fontId="2" numFmtId="0" xfId="0" applyBorder="1" applyFont="1"/>
    <xf borderId="4" fillId="0" fontId="2" numFmtId="0" xfId="0" applyBorder="1" applyFont="1"/>
    <xf borderId="4" fillId="0" fontId="4" numFmtId="0" xfId="0" applyAlignment="1" applyBorder="1" applyFont="1">
      <alignment readingOrder="0" vertical="center"/>
    </xf>
    <xf borderId="5" fillId="0" fontId="2" numFmtId="0" xfId="0" applyBorder="1" applyFont="1"/>
    <xf borderId="6" fillId="0" fontId="4" numFmtId="0" xfId="0" applyAlignment="1" applyBorder="1" applyFont="1">
      <alignment readingOrder="0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5" numFmtId="0" xfId="0" applyAlignment="1" applyBorder="1" applyFont="1">
      <alignment readingOrder="0" vertical="center"/>
    </xf>
    <xf borderId="10" fillId="0" fontId="2" numFmtId="0" xfId="0" applyBorder="1" applyFont="1"/>
    <xf borderId="6" fillId="0" fontId="5" numFmtId="0" xfId="0" applyAlignment="1" applyBorder="1" applyFont="1">
      <alignment horizontal="right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0" fontId="6" numFmtId="49" xfId="0" applyAlignment="1" applyBorder="1" applyFont="1" applyNumberFormat="1">
      <alignment horizontal="left" readingOrder="0" shrinkToFit="0" vertical="center" wrapText="1"/>
    </xf>
    <xf borderId="15" fillId="0" fontId="6" numFmtId="49" xfId="0" applyAlignment="1" applyBorder="1" applyFont="1" applyNumberFormat="1">
      <alignment horizontal="left" readingOrder="0" shrinkToFit="0" vertical="center" wrapText="1"/>
    </xf>
    <xf borderId="9" fillId="2" fontId="7" numFmtId="0" xfId="0" applyAlignment="1" applyBorder="1" applyFill="1" applyFont="1">
      <alignment horizontal="center" shrinkToFit="0" vertical="bottom" wrapText="1"/>
    </xf>
    <xf borderId="11" fillId="0" fontId="8" numFmtId="0" xfId="0" applyAlignment="1" applyBorder="1" applyFont="1">
      <alignment horizontal="center" readingOrder="0" shrinkToFit="0" vertical="center" wrapText="1"/>
    </xf>
    <xf borderId="16" fillId="0" fontId="6" numFmtId="49" xfId="0" applyAlignment="1" applyBorder="1" applyFont="1" applyNumberFormat="1">
      <alignment horizontal="left" readingOrder="0" shrinkToFit="0" vertical="center" wrapText="1"/>
    </xf>
    <xf borderId="0" fillId="0" fontId="6" numFmtId="49" xfId="0" applyAlignment="1" applyFont="1" applyNumberFormat="1">
      <alignment horizontal="left" readingOrder="0" shrinkToFit="0" vertical="center" wrapText="1"/>
    </xf>
    <xf borderId="9" fillId="0" fontId="9" numFmtId="0" xfId="0" applyAlignment="1" applyBorder="1" applyFont="1">
      <alignment horizontal="left" readingOrder="0" shrinkToFit="0" vertical="center" wrapText="1"/>
    </xf>
    <xf borderId="17" fillId="2" fontId="10" numFmtId="0" xfId="0" applyAlignment="1" applyBorder="1" applyFill="1" applyFont="1">
      <alignment horizontal="center" shrinkToFit="0" wrapText="1"/>
    </xf>
    <xf borderId="18" fillId="2" fontId="7" numFmtId="0" xfId="0" applyAlignment="1" applyBorder="1" applyFill="1" applyFont="1">
      <alignment horizontal="center" shrinkToFit="0" vertical="bottom" wrapText="1"/>
    </xf>
    <xf borderId="18" fillId="2" fontId="11" numFmtId="0" xfId="0" applyAlignment="1" applyBorder="1" applyFill="1" applyFont="1">
      <alignment horizontal="center" shrinkToFit="0" wrapText="1"/>
    </xf>
    <xf borderId="1" fillId="2" fontId="12" numFmtId="0" xfId="0" applyAlignment="1" applyBorder="1" applyFill="1" applyFont="1">
      <alignment horizontal="center" shrinkToFit="0" wrapText="1"/>
    </xf>
    <xf borderId="9" fillId="2" fontId="11" numFmtId="0" xfId="0" applyAlignment="1" applyBorder="1" applyFill="1" applyFont="1">
      <alignment horizontal="center" shrinkToFit="0" wrapText="1"/>
    </xf>
    <xf borderId="17" fillId="2" fontId="12" numFmtId="0" xfId="0" applyAlignment="1" applyBorder="1" applyFill="1" applyFont="1">
      <alignment horizontal="center" shrinkToFit="0" wrapText="1"/>
    </xf>
    <xf borderId="18" fillId="2" fontId="7" numFmtId="0" xfId="0" applyAlignment="1" applyBorder="1" applyFill="1" applyFont="1">
      <alignment horizontal="center" readingOrder="0" shrinkToFit="0" vertical="bottom" wrapText="1"/>
    </xf>
    <xf borderId="18" fillId="2" fontId="13" numFmtId="0" xfId="0" applyAlignment="1" applyBorder="1" applyFill="1" applyFont="1">
      <alignment horizontal="center" readingOrder="0" shrinkToFit="0" vertical="center" wrapText="1"/>
    </xf>
    <xf borderId="9" fillId="2" fontId="12" numFmtId="0" xfId="0" applyAlignment="1" applyBorder="1" applyFill="1" applyFont="1">
      <alignment horizontal="center" shrinkToFit="0" wrapText="1"/>
    </xf>
    <xf borderId="18" fillId="0" fontId="9" numFmtId="164" xfId="0" applyAlignment="1" applyBorder="1" applyFont="1" applyNumberFormat="1">
      <alignment horizontal="center" readingOrder="0"/>
    </xf>
    <xf borderId="18" fillId="2" fontId="12" numFmtId="0" xfId="0" applyAlignment="1" applyBorder="1" applyFill="1" applyFont="1">
      <alignment horizontal="center" shrinkToFit="0" wrapText="1"/>
    </xf>
    <xf borderId="18" fillId="2" fontId="12" numFmtId="0" xfId="0" applyAlignment="1" applyBorder="1" applyFill="1" applyFont="1">
      <alignment horizontal="center" readingOrder="0" shrinkToFit="0" wrapText="1"/>
    </xf>
    <xf borderId="18" fillId="0" fontId="9" numFmtId="0" xfId="0" applyAlignment="1" applyBorder="1" applyFont="1">
      <alignment horizontal="center"/>
    </xf>
    <xf borderId="19" fillId="0" fontId="2" numFmtId="0" xfId="0" applyBorder="1" applyFont="1"/>
    <xf borderId="6" fillId="0" fontId="2" numFmtId="0" xfId="0" applyBorder="1" applyFont="1"/>
    <xf borderId="18" fillId="0" fontId="9" numFmtId="0" xfId="0" applyAlignment="1" applyBorder="1" applyFont="1">
      <alignment horizontal="center" readingOrder="0" shrinkToFit="0" vertical="center" wrapText="1"/>
    </xf>
    <xf borderId="18" fillId="0" fontId="14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20" fillId="0" fontId="6" numFmtId="0" xfId="0" applyAlignment="1" applyBorder="1" applyFont="1">
      <alignment horizontal="left" readingOrder="0" shrinkToFit="0" vertical="center" wrapText="0"/>
    </xf>
    <xf borderId="0" fillId="0" fontId="15" numFmtId="0" xfId="0" applyAlignment="1" applyFont="1">
      <alignment horizontal="left" readingOrder="0" shrinkToFit="0" vertical="center" wrapText="1"/>
    </xf>
    <xf borderId="12" fillId="0" fontId="15" numFmtId="0" xfId="0" applyAlignment="1" applyBorder="1" applyFont="1">
      <alignment horizontal="left" readingOrder="0" shrinkToFit="0" vertical="center" wrapText="1"/>
    </xf>
    <xf borderId="17" fillId="2" fontId="16" numFmtId="49" xfId="0" applyAlignment="1" applyBorder="1" applyFill="1" applyFont="1" applyNumberFormat="1">
      <alignment horizontal="center"/>
    </xf>
    <xf borderId="17" fillId="2" fontId="16" numFmtId="49" xfId="0" applyAlignment="1" applyBorder="1" applyFill="1" applyFont="1" applyNumberFormat="1">
      <alignment horizontal="center" shrinkToFit="0" wrapText="1"/>
    </xf>
    <xf borderId="9" fillId="0" fontId="14" numFmtId="0" xfId="0" applyAlignment="1" applyBorder="1" applyFont="1">
      <alignment horizontal="left" readingOrder="0" shrinkToFit="0" vertical="center" wrapText="1"/>
    </xf>
    <xf borderId="9" fillId="2" fontId="16" numFmtId="49" xfId="0" applyAlignment="1" applyBorder="1" applyFill="1" applyFont="1" applyNumberFormat="1">
      <alignment horizontal="center" shrinkToFit="0" wrapText="1"/>
    </xf>
    <xf borderId="18" fillId="0" fontId="14" numFmtId="165" xfId="0" applyAlignment="1" applyBorder="1" applyFont="1" applyNumberFormat="1">
      <alignment horizontal="center" readingOrder="0" shrinkToFit="0" vertical="center" wrapText="1"/>
    </xf>
    <xf quotePrefix="1" borderId="18" fillId="0" fontId="14" numFmtId="0" xfId="0" applyAlignment="1" applyBorder="1" applyFont="1">
      <alignment horizontal="center" readingOrder="0" shrinkToFit="0" vertical="center" wrapText="1"/>
    </xf>
    <xf borderId="1" fillId="2" fontId="16" numFmtId="49" xfId="0" applyAlignment="1" applyBorder="1" applyFill="1" applyFont="1" applyNumberFormat="1">
      <alignment horizontal="center" shrinkToFit="0" wrapText="1"/>
    </xf>
    <xf borderId="18" fillId="2" fontId="16" numFmtId="49" xfId="0" applyAlignment="1" applyBorder="1" applyFill="1" applyFont="1" applyNumberFormat="1">
      <alignment horizontal="center" shrinkToFit="0" wrapText="1"/>
    </xf>
    <xf borderId="18" fillId="0" fontId="17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18" fillId="0" fontId="9" numFmtId="49" xfId="0" applyAlignment="1" applyBorder="1" applyFont="1" applyNumberFormat="1">
      <alignment horizontal="center"/>
    </xf>
    <xf borderId="18" fillId="0" fontId="9" numFmtId="49" xfId="0" applyBorder="1" applyFont="1" applyNumberFormat="1"/>
    <xf borderId="18" fillId="0" fontId="9" numFmtId="0" xfId="0" applyAlignment="1" applyBorder="1" applyFont="1">
      <alignment horizontal="center" readingOrder="0"/>
    </xf>
    <xf borderId="18" fillId="0" fontId="9" numFmtId="49" xfId="0" applyAlignment="1" applyBorder="1" applyFont="1" applyNumberFormat="1">
      <alignment readingOrder="0"/>
    </xf>
    <xf borderId="13" fillId="0" fontId="9" numFmtId="0" xfId="0" applyAlignment="1" applyBorder="1" applyFont="1">
      <alignment horizontal="center" readingOrder="0" shrinkToFit="0" vertical="center" wrapText="1"/>
    </xf>
    <xf borderId="7" fillId="0" fontId="13" numFmtId="49" xfId="0" applyAlignment="1" applyBorder="1" applyFont="1" applyNumberFormat="1">
      <alignment horizontal="left" readingOrder="0" shrinkToFit="0" vertical="center" wrapText="1"/>
    </xf>
    <xf borderId="18" fillId="0" fontId="9" numFmtId="49" xfId="0" applyAlignment="1" applyBorder="1" applyFont="1" applyNumberFormat="1">
      <alignment horizontal="right"/>
    </xf>
    <xf borderId="11" fillId="0" fontId="13" numFmtId="0" xfId="0" applyAlignment="1" applyBorder="1" applyFont="1">
      <alignment horizontal="left" readingOrder="0" shrinkToFit="0" vertical="center" wrapText="1"/>
    </xf>
    <xf borderId="18" fillId="0" fontId="9" numFmtId="49" xfId="0" applyAlignment="1" applyBorder="1" applyFont="1" applyNumberFormat="1">
      <alignment horizontal="right" readingOrder="0"/>
    </xf>
    <xf borderId="0" fillId="0" fontId="13" numFmtId="49" xfId="0" applyAlignment="1" applyFont="1" applyNumberFormat="1">
      <alignment horizontal="left" readingOrder="0" shrinkToFit="0" vertical="center" wrapText="1"/>
    </xf>
    <xf borderId="0" fillId="0" fontId="9" numFmtId="49" xfId="0" applyFont="1" applyNumberFormat="1"/>
    <xf borderId="18" fillId="2" fontId="16" numFmtId="49" xfId="0" applyAlignment="1" applyBorder="1" applyFill="1" applyFont="1" applyNumberFormat="1">
      <alignment horizontal="center" vertical="bottom"/>
    </xf>
    <xf borderId="9" fillId="2" fontId="16" numFmtId="49" xfId="0" applyAlignment="1" applyBorder="1" applyFill="1" applyFont="1" applyNumberFormat="1">
      <alignment horizontal="center" vertical="bottom"/>
    </xf>
    <xf borderId="14" fillId="0" fontId="13" numFmtId="49" xfId="0" applyAlignment="1" applyBorder="1" applyFont="1" applyNumberFormat="1">
      <alignment horizontal="left" readingOrder="0" shrinkToFit="0" vertical="center" wrapText="1"/>
    </xf>
    <xf borderId="15" fillId="0" fontId="13" numFmtId="49" xfId="0" applyAlignment="1" applyBorder="1" applyFont="1" applyNumberFormat="1">
      <alignment horizontal="left" readingOrder="0" shrinkToFit="0" vertical="center" wrapText="1"/>
    </xf>
    <xf borderId="16" fillId="0" fontId="13" numFmtId="49" xfId="0" applyAlignment="1" applyBorder="1" applyFont="1" applyNumberFormat="1">
      <alignment horizontal="left" readingOrder="0" shrinkToFit="0" vertical="center" wrapText="1"/>
    </xf>
    <xf borderId="18" fillId="0" fontId="7" numFmtId="49" xfId="0" applyAlignment="1" applyBorder="1" applyFont="1" applyNumberFormat="1">
      <alignment horizontal="center"/>
    </xf>
    <xf borderId="9" fillId="0" fontId="7" numFmtId="49" xfId="0" applyAlignment="1" applyBorder="1" applyFont="1" applyNumberFormat="1">
      <alignment horizontal="left" readingOrder="0" shrinkToFit="0" vertical="center" wrapText="1"/>
    </xf>
    <xf borderId="11" fillId="0" fontId="6" numFmtId="0" xfId="0" applyAlignment="1" applyBorder="1" applyFont="1">
      <alignment horizontal="left" readingOrder="0" shrinkToFit="0" vertical="center" wrapText="0"/>
    </xf>
    <xf borderId="0" fillId="0" fontId="7" numFmtId="0" xfId="0" applyFont="1"/>
    <xf borderId="9" fillId="0" fontId="7" numFmtId="49" xfId="0" applyAlignment="1" applyBorder="1" applyFont="1" applyNumberFormat="1">
      <alignment readingOrder="0"/>
    </xf>
    <xf borderId="0" fillId="0" fontId="7" numFmtId="9" xfId="0" applyFont="1" applyNumberFormat="1"/>
    <xf borderId="14" fillId="0" fontId="18" numFmtId="49" xfId="0" applyAlignment="1" applyBorder="1" applyFont="1" applyNumberFormat="1">
      <alignment horizontal="left" readingOrder="0" shrinkToFit="0" vertical="center" wrapText="1"/>
    </xf>
    <xf borderId="15" fillId="0" fontId="18" numFmtId="49" xfId="0" applyAlignment="1" applyBorder="1" applyFont="1" applyNumberFormat="1">
      <alignment horizontal="left" readingOrder="0" shrinkToFit="0" vertical="center" wrapText="1"/>
    </xf>
    <xf borderId="0" fillId="0" fontId="16" numFmtId="0" xfId="0" applyAlignment="1" applyFont="1">
      <alignment readingOrder="0"/>
    </xf>
    <xf borderId="0" fillId="0" fontId="7" numFmtId="0" xfId="0" applyAlignment="1" applyFont="1">
      <alignment readingOrder="0"/>
    </xf>
    <xf borderId="16" fillId="0" fontId="18" numFmtId="49" xfId="0" applyAlignment="1" applyBorder="1" applyFont="1" applyNumberFormat="1">
      <alignment horizontal="left" readingOrder="0" shrinkToFit="0" vertical="center" wrapText="1"/>
    </xf>
    <xf borderId="18" fillId="0" fontId="7" numFmtId="49" xfId="0" applyAlignment="1" applyBorder="1" applyFont="1" applyNumberFormat="1">
      <alignment horizontal="center" readingOrder="0"/>
    </xf>
    <xf borderId="18" fillId="2" fontId="16" numFmtId="0" xfId="0" applyAlignment="1" applyBorder="1" applyFill="1" applyFont="1">
      <alignment horizontal="center"/>
    </xf>
    <xf borderId="18" fillId="2" fontId="16" numFmtId="0" xfId="0" applyAlignment="1" applyBorder="1" applyFill="1" applyFont="1">
      <alignment horizontal="center" readingOrder="0"/>
    </xf>
    <xf borderId="18" fillId="2" fontId="16" numFmtId="0" xfId="0" applyAlignment="1" applyBorder="1" applyFill="1" applyFont="1">
      <alignment horizontal="center" vertical="bottom"/>
    </xf>
    <xf borderId="18" fillId="2" fontId="16" numFmtId="0" xfId="0" applyAlignment="1" applyBorder="1" applyFill="1" applyFont="1">
      <alignment horizontal="center" vertical="bottom"/>
    </xf>
    <xf borderId="0" fillId="0" fontId="16" numFmtId="49" xfId="0" applyAlignment="1" applyFont="1" applyNumberFormat="1">
      <alignment horizontal="left" readingOrder="0" shrinkToFit="0" vertical="center" wrapText="1"/>
    </xf>
    <xf borderId="0" fillId="0" fontId="7" numFmtId="49" xfId="0" applyFont="1" applyNumberFormat="1"/>
    <xf borderId="0" fillId="0" fontId="16" numFmtId="0" xfId="0" applyAlignment="1" applyFont="1">
      <alignment horizontal="left" readingOrder="0" shrinkToFit="0" vertical="center" wrapText="1"/>
    </xf>
    <xf borderId="18" fillId="0" fontId="7" numFmtId="0" xfId="0" applyBorder="1" applyFont="1"/>
    <xf borderId="12" fillId="0" fontId="16" numFmtId="0" xfId="0" applyAlignment="1" applyBorder="1" applyFont="1">
      <alignment horizontal="left" readingOrder="0" shrinkToFit="0" vertical="center" wrapText="1"/>
    </xf>
    <xf borderId="18" fillId="0" fontId="7" numFmtId="0" xfId="0" applyAlignment="1" applyBorder="1" applyFont="1">
      <alignment readingOrder="0"/>
    </xf>
    <xf borderId="18" fillId="3" fontId="7" numFmtId="0" xfId="0" applyAlignment="1" applyBorder="1" applyFill="1" applyFont="1">
      <alignment readingOrder="0"/>
    </xf>
    <xf borderId="0" fillId="0" fontId="19" numFmtId="49" xfId="0" applyAlignment="1" applyFont="1" applyNumberFormat="1">
      <alignment horizontal="left" readingOrder="0" shrinkToFit="0" vertical="center" wrapText="1"/>
    </xf>
    <xf borderId="0" fillId="0" fontId="20" numFmtId="49" xfId="0" applyFont="1" applyNumberFormat="1"/>
    <xf borderId="18" fillId="4" fontId="16" numFmtId="0" xfId="0" applyAlignment="1" applyBorder="1" applyFill="1" applyFont="1">
      <alignment horizontal="center"/>
    </xf>
    <xf borderId="18" fillId="4" fontId="16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6</xdr:row>
      <xdr:rowOff>228600</xdr:rowOff>
    </xdr:from>
    <xdr:ext cx="7753350" cy="57912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3.5"/>
    <col customWidth="1" min="5" max="5" width="13.38"/>
    <col customWidth="1" min="6" max="6" width="9.75"/>
    <col customWidth="1" min="7" max="7" width="15.5"/>
    <col customWidth="1" min="8" max="11" width="9.75"/>
    <col customWidth="1" min="12" max="12" width="14.5"/>
    <col customWidth="1" min="13" max="13" width="13.75"/>
    <col customWidth="1" min="14" max="14" width="17.25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2"/>
      <c r="K1" s="2"/>
      <c r="L1" s="2"/>
      <c r="M1" s="4" t="s">
        <v>1</v>
      </c>
      <c r="N1" s="5"/>
    </row>
    <row r="2" ht="22.5" customHeight="1">
      <c r="A2" s="6"/>
      <c r="E2" s="6"/>
      <c r="M2" s="7" t="s">
        <v>2</v>
      </c>
      <c r="N2" s="8"/>
    </row>
    <row r="3" ht="22.5" customHeight="1">
      <c r="A3" s="6"/>
      <c r="E3" s="6"/>
      <c r="M3" s="9" t="s">
        <v>3</v>
      </c>
      <c r="N3" s="11"/>
    </row>
    <row r="4">
      <c r="A4" s="12" t="s">
        <v>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7"/>
      <c r="M4" s="14" t="s">
        <v>5</v>
      </c>
      <c r="N4" s="11"/>
    </row>
    <row r="5" ht="16.5" customHeight="1">
      <c r="A5" s="15"/>
      <c r="N5" s="16"/>
    </row>
    <row r="6" ht="31.5" customHeight="1">
      <c r="A6" s="15" t="s">
        <v>10</v>
      </c>
      <c r="N6" s="16"/>
    </row>
    <row r="7" ht="20.25" customHeight="1">
      <c r="A7" s="27" t="s">
        <v>9</v>
      </c>
      <c r="B7" s="29" t="s">
        <v>13</v>
      </c>
      <c r="C7" s="13"/>
      <c r="D7" s="17"/>
      <c r="E7" s="32" t="s">
        <v>16</v>
      </c>
      <c r="F7" s="33" t="s">
        <v>17</v>
      </c>
      <c r="G7" s="17"/>
      <c r="H7" s="33" t="s">
        <v>21</v>
      </c>
      <c r="I7" s="13"/>
      <c r="J7" s="13"/>
      <c r="K7" s="13"/>
      <c r="L7" s="17"/>
      <c r="M7" s="35" t="s">
        <v>24</v>
      </c>
      <c r="N7" s="36" t="s">
        <v>27</v>
      </c>
    </row>
    <row r="8">
      <c r="A8" s="41">
        <f>row()-7</f>
        <v>1</v>
      </c>
      <c r="B8" s="43" t="s">
        <v>35</v>
      </c>
      <c r="C8" s="13"/>
      <c r="D8" s="17"/>
      <c r="E8" s="41" t="s">
        <v>38</v>
      </c>
      <c r="F8" s="43" t="s">
        <v>40</v>
      </c>
      <c r="G8" s="17"/>
      <c r="H8" s="49" t="s">
        <v>41</v>
      </c>
      <c r="I8" s="13"/>
      <c r="J8" s="13"/>
      <c r="K8" s="13"/>
      <c r="L8" s="17"/>
      <c r="M8" s="51">
        <v>44267.0</v>
      </c>
      <c r="N8" s="41" t="s">
        <v>49</v>
      </c>
    </row>
    <row r="9">
      <c r="A9" s="52" t="s">
        <v>51</v>
      </c>
      <c r="B9" s="43" t="s">
        <v>53</v>
      </c>
      <c r="C9" s="13"/>
      <c r="D9" s="17"/>
      <c r="E9" s="41" t="s">
        <v>55</v>
      </c>
      <c r="F9" s="43"/>
      <c r="G9" s="17"/>
      <c r="H9" s="49" t="s">
        <v>57</v>
      </c>
      <c r="I9" s="13"/>
      <c r="J9" s="13"/>
      <c r="K9" s="13"/>
      <c r="L9" s="17"/>
      <c r="M9" s="41" t="s">
        <v>58</v>
      </c>
      <c r="N9" s="41"/>
    </row>
    <row r="10">
      <c r="A10" s="41">
        <f t="shared" ref="A10:A17" si="1">row()-7</f>
        <v>3</v>
      </c>
      <c r="B10" s="43"/>
      <c r="C10" s="13"/>
      <c r="D10" s="17"/>
      <c r="E10" s="41"/>
      <c r="F10" s="43"/>
      <c r="G10" s="17"/>
      <c r="H10" s="49"/>
      <c r="I10" s="13"/>
      <c r="J10" s="13"/>
      <c r="K10" s="13"/>
      <c r="L10" s="17"/>
      <c r="M10" s="51"/>
      <c r="N10" s="41"/>
    </row>
    <row r="11">
      <c r="A11" s="41">
        <f t="shared" si="1"/>
        <v>4</v>
      </c>
      <c r="B11" s="43"/>
      <c r="C11" s="13"/>
      <c r="D11" s="17"/>
      <c r="E11" s="41"/>
      <c r="F11" s="43"/>
      <c r="G11" s="17"/>
      <c r="H11" s="49"/>
      <c r="I11" s="13"/>
      <c r="J11" s="13"/>
      <c r="K11" s="13"/>
      <c r="L11" s="17"/>
      <c r="M11" s="51"/>
      <c r="N11" s="41"/>
    </row>
    <row r="12">
      <c r="A12" s="41">
        <f t="shared" si="1"/>
        <v>5</v>
      </c>
      <c r="B12" s="43"/>
      <c r="C12" s="13"/>
      <c r="D12" s="17"/>
      <c r="E12" s="41"/>
      <c r="F12" s="43"/>
      <c r="G12" s="17"/>
      <c r="H12" s="43"/>
      <c r="I12" s="13"/>
      <c r="J12" s="13"/>
      <c r="K12" s="13"/>
      <c r="L12" s="17"/>
      <c r="M12" s="41"/>
      <c r="N12" s="41"/>
    </row>
    <row r="13">
      <c r="A13" s="41">
        <f t="shared" si="1"/>
        <v>6</v>
      </c>
      <c r="B13" s="43"/>
      <c r="C13" s="13"/>
      <c r="D13" s="17"/>
      <c r="E13" s="41"/>
      <c r="F13" s="43"/>
      <c r="G13" s="17"/>
      <c r="H13" s="43"/>
      <c r="I13" s="13"/>
      <c r="J13" s="13"/>
      <c r="K13" s="13"/>
      <c r="L13" s="17"/>
      <c r="M13" s="41"/>
      <c r="N13" s="41"/>
    </row>
    <row r="14">
      <c r="A14" s="41">
        <f t="shared" si="1"/>
        <v>7</v>
      </c>
      <c r="B14" s="43"/>
      <c r="C14" s="13"/>
      <c r="D14" s="17"/>
      <c r="E14" s="41"/>
      <c r="F14" s="43"/>
      <c r="G14" s="17"/>
      <c r="H14" s="43"/>
      <c r="I14" s="13"/>
      <c r="J14" s="13"/>
      <c r="K14" s="13"/>
      <c r="L14" s="17"/>
      <c r="M14" s="41"/>
      <c r="N14" s="41"/>
    </row>
    <row r="15">
      <c r="A15" s="41">
        <f t="shared" si="1"/>
        <v>8</v>
      </c>
      <c r="B15" s="43"/>
      <c r="C15" s="13"/>
      <c r="D15" s="17"/>
      <c r="E15" s="41"/>
      <c r="F15" s="43"/>
      <c r="G15" s="17"/>
      <c r="H15" s="43"/>
      <c r="I15" s="13"/>
      <c r="J15" s="13"/>
      <c r="K15" s="13"/>
      <c r="L15" s="17"/>
      <c r="M15" s="41"/>
      <c r="N15" s="41"/>
    </row>
    <row r="16">
      <c r="A16" s="41">
        <f t="shared" si="1"/>
        <v>9</v>
      </c>
      <c r="B16" s="43"/>
      <c r="C16" s="13"/>
      <c r="D16" s="17"/>
      <c r="E16" s="41"/>
      <c r="F16" s="43"/>
      <c r="G16" s="17"/>
      <c r="H16" s="43"/>
      <c r="I16" s="13"/>
      <c r="J16" s="13"/>
      <c r="K16" s="13"/>
      <c r="L16" s="17"/>
      <c r="M16" s="41"/>
      <c r="N16" s="41"/>
    </row>
    <row r="17">
      <c r="A17" s="41">
        <f t="shared" si="1"/>
        <v>10</v>
      </c>
      <c r="B17" s="43"/>
      <c r="C17" s="13"/>
      <c r="D17" s="17"/>
      <c r="E17" s="41"/>
      <c r="F17" s="43"/>
      <c r="G17" s="17"/>
      <c r="H17" s="43"/>
      <c r="I17" s="13"/>
      <c r="J17" s="13"/>
      <c r="K17" s="13"/>
      <c r="L17" s="17"/>
      <c r="M17" s="41"/>
      <c r="N17" s="41"/>
    </row>
    <row r="18" ht="22.5" customHeight="1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3"/>
    </row>
  </sheetData>
  <mergeCells count="42">
    <mergeCell ref="A1:D3"/>
    <mergeCell ref="E1:L3"/>
    <mergeCell ref="M1:N1"/>
    <mergeCell ref="M2:N2"/>
    <mergeCell ref="M3:N3"/>
    <mergeCell ref="A4:L4"/>
    <mergeCell ref="M4:N4"/>
    <mergeCell ref="A5:N5"/>
    <mergeCell ref="A6:N6"/>
    <mergeCell ref="B7:D7"/>
    <mergeCell ref="F7:G7"/>
    <mergeCell ref="H7:L7"/>
    <mergeCell ref="F8:G8"/>
    <mergeCell ref="H8:L8"/>
    <mergeCell ref="F10:G10"/>
    <mergeCell ref="F11:G11"/>
    <mergeCell ref="F12:G12"/>
    <mergeCell ref="F13:G13"/>
    <mergeCell ref="F14:G14"/>
    <mergeCell ref="F15:G15"/>
    <mergeCell ref="F16:G16"/>
    <mergeCell ref="F17:G17"/>
    <mergeCell ref="B11:D11"/>
    <mergeCell ref="B12:D12"/>
    <mergeCell ref="B13:D13"/>
    <mergeCell ref="B14:D14"/>
    <mergeCell ref="B15:D15"/>
    <mergeCell ref="B16:D16"/>
    <mergeCell ref="B17:D17"/>
    <mergeCell ref="H12:L12"/>
    <mergeCell ref="H13:L13"/>
    <mergeCell ref="H14:L14"/>
    <mergeCell ref="H15:L15"/>
    <mergeCell ref="H16:L16"/>
    <mergeCell ref="H17:L17"/>
    <mergeCell ref="B8:D8"/>
    <mergeCell ref="B9:D9"/>
    <mergeCell ref="F9:G9"/>
    <mergeCell ref="H9:L9"/>
    <mergeCell ref="B10:D10"/>
    <mergeCell ref="H10:L10"/>
    <mergeCell ref="H11:L11"/>
  </mergeCells>
  <dataValidations>
    <dataValidation type="list" allowBlank="1" sqref="N8:N17">
      <formula1>Appendix!$G$4:$G$32</formula1>
    </dataValidation>
    <dataValidation type="list" allowBlank="1" sqref="E8:E17">
      <formula1>Appendix!$C$4:$C$8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3.5"/>
    <col customWidth="1" min="5" max="5" width="13.38"/>
    <col customWidth="1" min="6" max="6" width="9.75"/>
    <col customWidth="1" min="7" max="7" width="15.5"/>
    <col customWidth="1" min="8" max="8" width="9.75"/>
    <col customWidth="1" min="9" max="9" width="17.75"/>
    <col customWidth="1" min="10" max="11" width="9.75"/>
    <col customWidth="1" min="12" max="12" width="17.25"/>
    <col customWidth="1" min="13" max="13" width="13.75"/>
    <col customWidth="1" min="14" max="14" width="13.38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2"/>
      <c r="K1" s="2"/>
      <c r="L1" s="4" t="s">
        <v>1</v>
      </c>
      <c r="M1" s="2"/>
      <c r="N1" s="5"/>
    </row>
    <row r="2" ht="22.5" customHeight="1">
      <c r="A2" s="6"/>
      <c r="E2" s="6"/>
      <c r="L2" s="7" t="s">
        <v>2</v>
      </c>
      <c r="N2" s="8"/>
    </row>
    <row r="3" ht="22.5" customHeight="1">
      <c r="A3" s="6"/>
      <c r="E3" s="6"/>
      <c r="L3" s="9" t="s">
        <v>3</v>
      </c>
      <c r="M3" s="10"/>
      <c r="N3" s="11"/>
    </row>
    <row r="4">
      <c r="A4" s="12" t="s">
        <v>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4" t="s">
        <v>5</v>
      </c>
      <c r="M4" s="10"/>
      <c r="N4" s="11"/>
    </row>
    <row r="5" ht="16.5" customHeight="1">
      <c r="A5" s="15"/>
      <c r="N5" s="16"/>
    </row>
    <row r="6" ht="31.5" customHeight="1">
      <c r="A6" s="21" t="s">
        <v>8</v>
      </c>
      <c r="N6" s="16"/>
    </row>
    <row r="7" ht="20.25" customHeight="1">
      <c r="A7" s="25" t="s">
        <v>9</v>
      </c>
      <c r="B7" s="28" t="s">
        <v>12</v>
      </c>
      <c r="C7" s="2"/>
      <c r="D7" s="5"/>
      <c r="E7" s="30" t="s">
        <v>14</v>
      </c>
      <c r="F7" s="33" t="s">
        <v>11</v>
      </c>
      <c r="G7" s="13"/>
      <c r="H7" s="17"/>
      <c r="I7" s="30" t="s">
        <v>18</v>
      </c>
      <c r="J7" s="28" t="s">
        <v>20</v>
      </c>
      <c r="K7" s="2"/>
      <c r="L7" s="5"/>
      <c r="M7" s="30" t="s">
        <v>22</v>
      </c>
      <c r="N7" s="30" t="s">
        <v>26</v>
      </c>
    </row>
    <row r="8">
      <c r="A8" s="38"/>
      <c r="B8" s="39"/>
      <c r="C8" s="10"/>
      <c r="D8" s="11"/>
      <c r="E8" s="38"/>
      <c r="F8" s="35" t="s">
        <v>30</v>
      </c>
      <c r="G8" s="35" t="s">
        <v>31</v>
      </c>
      <c r="H8" s="35" t="s">
        <v>32</v>
      </c>
      <c r="I8" s="38"/>
      <c r="J8" s="39"/>
      <c r="K8" s="10"/>
      <c r="L8" s="11"/>
      <c r="M8" s="38"/>
      <c r="N8" s="38"/>
    </row>
    <row r="9">
      <c r="A9" s="40">
        <f t="shared" ref="A9:A17" si="1">row()-8</f>
        <v>1</v>
      </c>
      <c r="B9" s="42" t="s">
        <v>34</v>
      </c>
      <c r="C9" s="13"/>
      <c r="D9" s="17"/>
      <c r="E9" s="40" t="s">
        <v>37</v>
      </c>
      <c r="F9" s="40" t="str">
        <f>Table_name!G5</f>
        <v/>
      </c>
      <c r="G9" s="40" t="s">
        <v>43</v>
      </c>
      <c r="H9" s="40" t="s">
        <v>43</v>
      </c>
      <c r="I9" s="55" t="s">
        <v>23</v>
      </c>
      <c r="J9" s="56" t="str">
        <f>Table_name!G7</f>
        <v/>
      </c>
      <c r="K9" s="13"/>
      <c r="L9" s="17"/>
      <c r="M9" s="40" t="str">
        <f>Table_name!C8</f>
        <v/>
      </c>
      <c r="N9" s="61" t="s">
        <v>60</v>
      </c>
    </row>
    <row r="10">
      <c r="A10" s="40">
        <f t="shared" si="1"/>
        <v>2</v>
      </c>
      <c r="B10" s="42"/>
      <c r="C10" s="13"/>
      <c r="D10" s="17"/>
      <c r="E10" s="40"/>
      <c r="F10" s="40"/>
      <c r="G10" s="40"/>
      <c r="H10" s="40"/>
      <c r="I10" s="40"/>
      <c r="J10" s="56"/>
      <c r="K10" s="13"/>
      <c r="L10" s="17"/>
      <c r="M10" s="40"/>
      <c r="N10" s="61"/>
    </row>
    <row r="11">
      <c r="A11" s="40">
        <f t="shared" si="1"/>
        <v>3</v>
      </c>
      <c r="B11" s="42"/>
      <c r="C11" s="13"/>
      <c r="D11" s="17"/>
      <c r="E11" s="40"/>
      <c r="F11" s="40"/>
      <c r="G11" s="40"/>
      <c r="H11" s="40"/>
      <c r="I11" s="40"/>
      <c r="J11" s="56"/>
      <c r="K11" s="13"/>
      <c r="L11" s="17"/>
      <c r="M11" s="40"/>
      <c r="N11" s="61"/>
    </row>
    <row r="12">
      <c r="A12" s="40">
        <f t="shared" si="1"/>
        <v>4</v>
      </c>
      <c r="B12" s="42"/>
      <c r="C12" s="13"/>
      <c r="D12" s="17"/>
      <c r="E12" s="40"/>
      <c r="F12" s="40"/>
      <c r="G12" s="40"/>
      <c r="H12" s="40"/>
      <c r="I12" s="40"/>
      <c r="J12" s="56"/>
      <c r="K12" s="13"/>
      <c r="L12" s="17"/>
      <c r="M12" s="40"/>
      <c r="N12" s="61"/>
    </row>
    <row r="13">
      <c r="A13" s="40">
        <f t="shared" si="1"/>
        <v>5</v>
      </c>
      <c r="B13" s="42"/>
      <c r="C13" s="13"/>
      <c r="D13" s="17"/>
      <c r="E13" s="40"/>
      <c r="F13" s="40"/>
      <c r="G13" s="40"/>
      <c r="H13" s="40"/>
      <c r="I13" s="40"/>
      <c r="J13" s="56"/>
      <c r="K13" s="13"/>
      <c r="L13" s="17"/>
      <c r="M13" s="40"/>
      <c r="N13" s="61"/>
    </row>
    <row r="14">
      <c r="A14" s="40">
        <f t="shared" si="1"/>
        <v>6</v>
      </c>
      <c r="B14" s="42"/>
      <c r="C14" s="13"/>
      <c r="D14" s="17"/>
      <c r="E14" s="40"/>
      <c r="F14" s="40"/>
      <c r="G14" s="40"/>
      <c r="H14" s="40"/>
      <c r="I14" s="40"/>
      <c r="J14" s="56"/>
      <c r="K14" s="13"/>
      <c r="L14" s="17"/>
      <c r="M14" s="40"/>
      <c r="N14" s="61"/>
    </row>
    <row r="15">
      <c r="A15" s="40">
        <f t="shared" si="1"/>
        <v>7</v>
      </c>
      <c r="B15" s="42"/>
      <c r="C15" s="13"/>
      <c r="D15" s="17"/>
      <c r="E15" s="40"/>
      <c r="F15" s="40"/>
      <c r="G15" s="40"/>
      <c r="H15" s="40"/>
      <c r="I15" s="40"/>
      <c r="J15" s="56"/>
      <c r="K15" s="13"/>
      <c r="L15" s="17"/>
      <c r="M15" s="40"/>
      <c r="N15" s="61"/>
    </row>
    <row r="16">
      <c r="A16" s="40">
        <f t="shared" si="1"/>
        <v>8</v>
      </c>
      <c r="B16" s="42"/>
      <c r="C16" s="13"/>
      <c r="D16" s="17"/>
      <c r="E16" s="40"/>
      <c r="F16" s="40"/>
      <c r="G16" s="40"/>
      <c r="H16" s="40"/>
      <c r="I16" s="40"/>
      <c r="J16" s="56"/>
      <c r="K16" s="13"/>
      <c r="L16" s="17"/>
      <c r="M16" s="40"/>
      <c r="N16" s="61"/>
    </row>
    <row r="17">
      <c r="A17" s="40">
        <f t="shared" si="1"/>
        <v>9</v>
      </c>
      <c r="B17" s="42"/>
      <c r="C17" s="13"/>
      <c r="D17" s="17"/>
      <c r="E17" s="40"/>
      <c r="F17" s="40"/>
      <c r="G17" s="40"/>
      <c r="H17" s="40"/>
      <c r="I17" s="40"/>
      <c r="J17" s="56"/>
      <c r="K17" s="13"/>
      <c r="L17" s="17"/>
      <c r="M17" s="40"/>
      <c r="N17" s="61"/>
    </row>
    <row r="18" ht="22.5" customHeight="1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</sheetData>
  <mergeCells count="35">
    <mergeCell ref="A1:D3"/>
    <mergeCell ref="E1:K3"/>
    <mergeCell ref="L1:N1"/>
    <mergeCell ref="L2:N2"/>
    <mergeCell ref="L3:N3"/>
    <mergeCell ref="A4:K4"/>
    <mergeCell ref="L4:N4"/>
    <mergeCell ref="A5:N5"/>
    <mergeCell ref="A6:N6"/>
    <mergeCell ref="A7:A8"/>
    <mergeCell ref="E7:E8"/>
    <mergeCell ref="F7:H7"/>
    <mergeCell ref="I7:I8"/>
    <mergeCell ref="N7:N8"/>
    <mergeCell ref="J14:L14"/>
    <mergeCell ref="J15:L15"/>
    <mergeCell ref="J16:L16"/>
    <mergeCell ref="J17:L17"/>
    <mergeCell ref="J7:L8"/>
    <mergeCell ref="M7:M8"/>
    <mergeCell ref="J9:L9"/>
    <mergeCell ref="J10:L10"/>
    <mergeCell ref="J11:L11"/>
    <mergeCell ref="J12:L12"/>
    <mergeCell ref="J13:L13"/>
    <mergeCell ref="B15:D15"/>
    <mergeCell ref="B16:D16"/>
    <mergeCell ref="B17:D17"/>
    <mergeCell ref="B7:D8"/>
    <mergeCell ref="B9:D9"/>
    <mergeCell ref="B10:D10"/>
    <mergeCell ref="B11:D11"/>
    <mergeCell ref="B12:D12"/>
    <mergeCell ref="B13:D13"/>
    <mergeCell ref="B14:D14"/>
  </mergeCells>
  <dataValidations>
    <dataValidation type="list" allowBlank="1" sqref="E9:E17">
      <formula1>Appendix!$C$16:$C$20</formula1>
    </dataValidation>
    <dataValidation type="list" allowBlank="1" sqref="N9:N17">
      <formula1>Appendix!$C$28:$C$32</formula1>
    </dataValidation>
  </dataValidations>
  <hyperlinks>
    <hyperlink display="Physics table name" location="Table_name!A1" ref="I9"/>
  </hyperlink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3.5"/>
    <col customWidth="1" min="5" max="5" width="13.38"/>
    <col customWidth="1" min="6" max="6" width="9.75"/>
    <col customWidth="1" min="7" max="7" width="15.5"/>
    <col customWidth="1" min="8" max="8" width="9.75"/>
    <col customWidth="1" min="9" max="9" width="15.63"/>
    <col customWidth="1" min="10" max="11" width="9.75"/>
    <col customWidth="1" min="12" max="12" width="17.25"/>
    <col customWidth="1" min="13" max="14" width="13.75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2"/>
      <c r="K1" s="2"/>
      <c r="L1" s="4" t="s">
        <v>1</v>
      </c>
      <c r="M1" s="2"/>
      <c r="N1" s="5"/>
    </row>
    <row r="2" ht="22.5" customHeight="1">
      <c r="A2" s="6"/>
      <c r="E2" s="6"/>
      <c r="L2" s="7" t="s">
        <v>2</v>
      </c>
      <c r="N2" s="8"/>
    </row>
    <row r="3" ht="22.5" customHeight="1">
      <c r="A3" s="6"/>
      <c r="E3" s="6"/>
      <c r="L3" s="9" t="s">
        <v>3</v>
      </c>
      <c r="M3" s="10"/>
      <c r="N3" s="11"/>
    </row>
    <row r="4">
      <c r="A4" s="12" t="s">
        <v>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4" t="s">
        <v>5</v>
      </c>
      <c r="M4" s="10"/>
      <c r="N4" s="11"/>
    </row>
    <row r="5" ht="16.5" customHeight="1">
      <c r="A5" s="15"/>
      <c r="N5" s="16"/>
    </row>
    <row r="6" ht="31.5" customHeight="1">
      <c r="A6" s="15" t="s">
        <v>6</v>
      </c>
      <c r="N6" s="16"/>
    </row>
    <row r="7" ht="22.5" customHeight="1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22"/>
    </row>
    <row r="8" ht="22.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ht="22.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ht="22.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ht="22.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  <row r="12" ht="22.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ht="22.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 ht="22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ht="22.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ht="22.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ht="22.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ht="22.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ht="22.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ht="22.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ht="22.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ht="22.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ht="22.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ht="22.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ht="22.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ht="22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ht="22.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ht="22.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ht="22.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</sheetData>
  <mergeCells count="9">
    <mergeCell ref="A5:N5"/>
    <mergeCell ref="A6:N6"/>
    <mergeCell ref="A1:D3"/>
    <mergeCell ref="E1:K3"/>
    <mergeCell ref="L1:N1"/>
    <mergeCell ref="L2:N2"/>
    <mergeCell ref="L3:N3"/>
    <mergeCell ref="A4:K4"/>
    <mergeCell ref="L4:N4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6.88"/>
    <col customWidth="1" min="3" max="3" width="12.0"/>
    <col customWidth="1" min="4" max="5" width="13.38"/>
    <col customWidth="1" min="6" max="6" width="13.5"/>
    <col customWidth="1" min="7" max="7" width="12.25"/>
    <col customWidth="1" min="8" max="8" width="12.63"/>
    <col customWidth="1" min="9" max="9" width="9.63"/>
    <col customWidth="1" min="10" max="10" width="15.0"/>
    <col customWidth="1" min="11" max="11" width="7.13"/>
    <col customWidth="1" min="12" max="12" width="7.0"/>
    <col customWidth="1" min="13" max="13" width="7.38"/>
    <col customWidth="1" min="14" max="14" width="14.75"/>
  </cols>
  <sheetData>
    <row r="1" ht="22.5" customHeight="1">
      <c r="A1" s="1"/>
      <c r="B1" s="2"/>
      <c r="C1" s="2"/>
      <c r="D1" s="3" t="s">
        <v>0</v>
      </c>
      <c r="E1" s="2"/>
      <c r="F1" s="2"/>
      <c r="G1" s="2"/>
      <c r="H1" s="2"/>
      <c r="I1" s="2"/>
      <c r="J1" s="2"/>
      <c r="K1" s="4" t="s">
        <v>1</v>
      </c>
      <c r="L1" s="2"/>
      <c r="M1" s="2"/>
      <c r="N1" s="5"/>
    </row>
    <row r="2" ht="22.5" customHeight="1">
      <c r="A2" s="6"/>
      <c r="D2" s="6"/>
      <c r="K2" s="7" t="s">
        <v>2</v>
      </c>
      <c r="N2" s="8"/>
    </row>
    <row r="3" ht="22.5" customHeight="1">
      <c r="A3" s="6"/>
      <c r="D3" s="6"/>
      <c r="K3" s="9" t="s">
        <v>3</v>
      </c>
      <c r="L3" s="10"/>
      <c r="M3" s="10"/>
      <c r="N3" s="11"/>
    </row>
    <row r="4">
      <c r="A4" s="12" t="s">
        <v>4</v>
      </c>
      <c r="B4" s="13"/>
      <c r="C4" s="13"/>
      <c r="D4" s="13"/>
      <c r="E4" s="13"/>
      <c r="F4" s="13"/>
      <c r="G4" s="13"/>
      <c r="H4" s="13"/>
      <c r="I4" s="13"/>
      <c r="J4" s="13"/>
      <c r="K4" s="14" t="s">
        <v>5</v>
      </c>
      <c r="L4" s="10"/>
      <c r="M4" s="10"/>
      <c r="N4" s="11"/>
    </row>
    <row r="5" ht="31.5" customHeight="1">
      <c r="A5" s="20" t="s">
        <v>7</v>
      </c>
      <c r="B5" s="17"/>
      <c r="C5" s="24"/>
      <c r="D5" s="13"/>
      <c r="E5" s="17"/>
      <c r="F5" s="26" t="s">
        <v>11</v>
      </c>
      <c r="G5" s="24"/>
      <c r="H5" s="13"/>
      <c r="I5" s="13"/>
      <c r="J5" s="13"/>
      <c r="K5" s="13"/>
      <c r="L5" s="17"/>
      <c r="M5" s="31" t="s">
        <v>15</v>
      </c>
      <c r="N5" s="34"/>
    </row>
    <row r="6" ht="31.5" customHeight="1">
      <c r="A6" s="20" t="s">
        <v>19</v>
      </c>
      <c r="B6" s="17"/>
      <c r="C6" s="24"/>
      <c r="D6" s="13"/>
      <c r="E6" s="17"/>
      <c r="F6" s="26" t="s">
        <v>18</v>
      </c>
      <c r="G6" s="24" t="s">
        <v>23</v>
      </c>
      <c r="H6" s="13"/>
      <c r="I6" s="13"/>
      <c r="J6" s="13"/>
      <c r="K6" s="13"/>
      <c r="L6" s="17"/>
      <c r="M6" s="31" t="s">
        <v>25</v>
      </c>
      <c r="N6" s="37"/>
    </row>
    <row r="7" ht="31.5" customHeight="1">
      <c r="A7" s="20" t="s">
        <v>28</v>
      </c>
      <c r="B7" s="17"/>
      <c r="C7" s="24"/>
      <c r="D7" s="13"/>
      <c r="E7" s="17"/>
      <c r="F7" s="26" t="s">
        <v>29</v>
      </c>
      <c r="G7" s="24"/>
      <c r="H7" s="13"/>
      <c r="I7" s="13"/>
      <c r="J7" s="13"/>
      <c r="K7" s="13"/>
      <c r="L7" s="17"/>
      <c r="M7" s="31" t="s">
        <v>33</v>
      </c>
      <c r="N7" s="34"/>
    </row>
    <row r="8" ht="31.5" customHeight="1">
      <c r="A8" s="20" t="s">
        <v>22</v>
      </c>
      <c r="B8" s="17"/>
      <c r="C8" s="42"/>
      <c r="D8" s="13"/>
      <c r="E8" s="13"/>
      <c r="F8" s="13"/>
      <c r="G8" s="13"/>
      <c r="H8" s="13"/>
      <c r="I8" s="13"/>
      <c r="J8" s="13"/>
      <c r="K8" s="13"/>
      <c r="L8" s="17"/>
      <c r="M8" s="31" t="s">
        <v>27</v>
      </c>
      <c r="N8" s="37"/>
    </row>
    <row r="9" ht="31.5" customHeight="1">
      <c r="A9" s="44" t="s">
        <v>36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6"/>
    </row>
    <row r="10" ht="22.5" customHeight="1">
      <c r="A10" s="47" t="s">
        <v>39</v>
      </c>
      <c r="B10" s="48" t="s">
        <v>42</v>
      </c>
      <c r="C10" s="50" t="s">
        <v>44</v>
      </c>
      <c r="D10" s="13"/>
      <c r="E10" s="17"/>
      <c r="F10" s="48" t="s">
        <v>45</v>
      </c>
      <c r="G10" s="48" t="s">
        <v>46</v>
      </c>
      <c r="H10" s="48" t="s">
        <v>47</v>
      </c>
      <c r="I10" s="48" t="s">
        <v>48</v>
      </c>
      <c r="J10" s="48" t="s">
        <v>50</v>
      </c>
      <c r="K10" s="53" t="s">
        <v>52</v>
      </c>
      <c r="L10" s="2"/>
      <c r="M10" s="2"/>
      <c r="N10" s="5"/>
    </row>
    <row r="11" ht="22.5" customHeight="1">
      <c r="A11" s="38"/>
      <c r="B11" s="38"/>
      <c r="C11" s="54" t="s">
        <v>30</v>
      </c>
      <c r="D11" s="54" t="s">
        <v>31</v>
      </c>
      <c r="E11" s="54" t="s">
        <v>32</v>
      </c>
      <c r="F11" s="38"/>
      <c r="G11" s="38"/>
      <c r="H11" s="38"/>
      <c r="I11" s="38"/>
      <c r="J11" s="38"/>
      <c r="K11" s="39"/>
      <c r="L11" s="10"/>
      <c r="M11" s="10"/>
      <c r="N11" s="11"/>
    </row>
    <row r="12">
      <c r="A12" s="57"/>
      <c r="B12" s="57"/>
      <c r="C12" s="58"/>
      <c r="D12" s="58"/>
      <c r="E12" s="58"/>
      <c r="F12" s="58"/>
      <c r="G12" s="58"/>
      <c r="H12" s="58"/>
      <c r="I12" s="60"/>
      <c r="J12" s="58"/>
      <c r="K12" s="62"/>
      <c r="L12" s="10"/>
      <c r="M12" s="10"/>
      <c r="N12" s="11"/>
    </row>
    <row r="13">
      <c r="A13" s="57"/>
      <c r="B13" s="57"/>
      <c r="C13" s="58"/>
      <c r="D13" s="58"/>
      <c r="E13" s="58"/>
      <c r="F13" s="58"/>
      <c r="G13" s="58"/>
      <c r="H13" s="63"/>
      <c r="I13" s="60"/>
      <c r="J13" s="58"/>
      <c r="K13" s="62"/>
      <c r="L13" s="10"/>
      <c r="M13" s="10"/>
      <c r="N13" s="11"/>
    </row>
    <row r="14">
      <c r="A14" s="57"/>
      <c r="B14" s="57"/>
      <c r="C14" s="58"/>
      <c r="D14" s="58"/>
      <c r="E14" s="60"/>
      <c r="F14" s="58"/>
      <c r="G14" s="58"/>
      <c r="H14" s="63"/>
      <c r="I14" s="60"/>
      <c r="J14" s="58"/>
      <c r="K14" s="62"/>
      <c r="L14" s="10"/>
      <c r="M14" s="10"/>
      <c r="N14" s="11"/>
    </row>
    <row r="15">
      <c r="A15" s="57"/>
      <c r="B15" s="57"/>
      <c r="C15" s="58"/>
      <c r="D15" s="58"/>
      <c r="E15" s="60"/>
      <c r="F15" s="58"/>
      <c r="G15" s="58"/>
      <c r="H15" s="63"/>
      <c r="I15" s="60"/>
      <c r="J15" s="58"/>
      <c r="K15" s="62"/>
      <c r="L15" s="10"/>
      <c r="M15" s="10"/>
      <c r="N15" s="11"/>
    </row>
    <row r="16">
      <c r="A16" s="57"/>
      <c r="B16" s="57"/>
      <c r="C16" s="58"/>
      <c r="D16" s="58"/>
      <c r="E16" s="58"/>
      <c r="F16" s="58"/>
      <c r="G16" s="58"/>
      <c r="H16" s="65"/>
      <c r="I16" s="60"/>
      <c r="J16" s="58"/>
      <c r="K16" s="62"/>
      <c r="L16" s="10"/>
      <c r="M16" s="10"/>
      <c r="N16" s="11"/>
    </row>
    <row r="17">
      <c r="A17" s="57"/>
      <c r="B17" s="57"/>
      <c r="C17" s="58"/>
      <c r="D17" s="58"/>
      <c r="E17" s="60"/>
      <c r="F17" s="58"/>
      <c r="G17" s="58"/>
      <c r="H17" s="63"/>
      <c r="I17" s="60"/>
      <c r="J17" s="58"/>
      <c r="K17" s="62"/>
      <c r="L17" s="10"/>
      <c r="M17" s="10"/>
      <c r="N17" s="11"/>
    </row>
    <row r="18">
      <c r="A18" s="57"/>
      <c r="B18" s="57"/>
      <c r="C18" s="58"/>
      <c r="D18" s="60"/>
      <c r="E18" s="58"/>
      <c r="F18" s="58"/>
      <c r="G18" s="58"/>
      <c r="H18" s="58"/>
      <c r="I18" s="60"/>
      <c r="J18" s="58"/>
      <c r="K18" s="62"/>
      <c r="L18" s="10"/>
      <c r="M18" s="10"/>
      <c r="N18" s="11"/>
    </row>
    <row r="19">
      <c r="A19" s="57"/>
      <c r="B19" s="57"/>
      <c r="C19" s="58"/>
      <c r="D19" s="60"/>
      <c r="E19" s="60"/>
      <c r="F19" s="58"/>
      <c r="G19" s="58"/>
      <c r="H19" s="58"/>
      <c r="I19" s="60"/>
      <c r="J19" s="58"/>
      <c r="K19" s="62"/>
      <c r="L19" s="10"/>
      <c r="M19" s="10"/>
      <c r="N19" s="11"/>
    </row>
    <row r="20">
      <c r="A20" s="57"/>
      <c r="B20" s="57"/>
      <c r="C20" s="58"/>
      <c r="D20" s="60"/>
      <c r="E20" s="58"/>
      <c r="F20" s="58"/>
      <c r="G20" s="58"/>
      <c r="H20" s="58"/>
      <c r="I20" s="60"/>
      <c r="J20" s="58"/>
      <c r="K20" s="62"/>
      <c r="L20" s="10"/>
      <c r="M20" s="10"/>
      <c r="N20" s="11"/>
    </row>
    <row r="21">
      <c r="A21" s="57"/>
      <c r="B21" s="57"/>
      <c r="C21" s="58"/>
      <c r="D21" s="58"/>
      <c r="E21" s="58"/>
      <c r="F21" s="58"/>
      <c r="G21" s="58"/>
      <c r="H21" s="58"/>
      <c r="I21" s="58"/>
      <c r="J21" s="58"/>
      <c r="K21" s="62"/>
      <c r="L21" s="10"/>
      <c r="M21" s="10"/>
      <c r="N21" s="11"/>
    </row>
    <row r="22" ht="22.5" customHeight="1">
      <c r="A22" s="66"/>
      <c r="B22" s="66"/>
      <c r="C22" s="67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ht="22.5" customHeight="1">
      <c r="A23" s="66"/>
      <c r="B23" s="66"/>
      <c r="C23" s="67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</row>
    <row r="24" ht="22.5" customHeight="1">
      <c r="A24" s="44" t="s">
        <v>76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6"/>
    </row>
    <row r="25">
      <c r="A25" s="68" t="s">
        <v>39</v>
      </c>
      <c r="B25" s="69" t="s">
        <v>81</v>
      </c>
      <c r="C25" s="13"/>
      <c r="D25" s="17"/>
      <c r="E25" s="69" t="s">
        <v>84</v>
      </c>
      <c r="F25" s="17"/>
      <c r="G25" s="69" t="s">
        <v>86</v>
      </c>
      <c r="H25" s="17"/>
      <c r="I25" s="69" t="s">
        <v>90</v>
      </c>
      <c r="J25" s="17"/>
      <c r="K25" s="50" t="s">
        <v>52</v>
      </c>
      <c r="L25" s="13"/>
      <c r="M25" s="13"/>
      <c r="N25" s="17"/>
    </row>
    <row r="26">
      <c r="A26" s="73"/>
      <c r="B26" s="74"/>
      <c r="C26" s="13"/>
      <c r="D26" s="17"/>
      <c r="E26" s="74"/>
      <c r="F26" s="17"/>
      <c r="G26" s="77"/>
      <c r="H26" s="17"/>
      <c r="I26" s="77"/>
      <c r="J26" s="17"/>
      <c r="K26" s="74"/>
      <c r="L26" s="13"/>
      <c r="M26" s="13"/>
      <c r="N26" s="17"/>
    </row>
    <row r="27">
      <c r="A27" s="73"/>
      <c r="B27" s="74"/>
      <c r="C27" s="13"/>
      <c r="D27" s="17"/>
      <c r="E27" s="74"/>
      <c r="F27" s="17"/>
      <c r="G27" s="74"/>
      <c r="H27" s="17"/>
      <c r="I27" s="74"/>
      <c r="J27" s="17"/>
      <c r="K27" s="74"/>
      <c r="L27" s="13"/>
      <c r="M27" s="13"/>
      <c r="N27" s="17"/>
    </row>
    <row r="28">
      <c r="A28" s="73"/>
      <c r="B28" s="74"/>
      <c r="C28" s="13"/>
      <c r="D28" s="17"/>
      <c r="E28" s="74"/>
      <c r="F28" s="17"/>
      <c r="G28" s="74"/>
      <c r="H28" s="17"/>
      <c r="I28" s="74"/>
      <c r="J28" s="17"/>
      <c r="K28" s="74"/>
      <c r="L28" s="13"/>
      <c r="M28" s="13"/>
      <c r="N28" s="17"/>
    </row>
    <row r="29" ht="22.5" customHeight="1">
      <c r="A29" s="89"/>
      <c r="B29" s="89"/>
      <c r="C29" s="90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</row>
    <row r="30" ht="22.5" customHeight="1">
      <c r="A30" s="89"/>
      <c r="B30" s="89"/>
      <c r="C30" s="90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</row>
    <row r="31" ht="22.5" customHeight="1">
      <c r="A31" s="89"/>
      <c r="B31" s="89"/>
      <c r="C31" s="90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</row>
    <row r="32" ht="22.5" customHeight="1">
      <c r="A32" s="44" t="s">
        <v>113</v>
      </c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3"/>
    </row>
    <row r="33">
      <c r="A33" s="68" t="s">
        <v>39</v>
      </c>
      <c r="B33" s="69" t="s">
        <v>114</v>
      </c>
      <c r="C33" s="13"/>
      <c r="D33" s="17"/>
      <c r="E33" s="69" t="s">
        <v>84</v>
      </c>
      <c r="F33" s="17"/>
      <c r="G33" s="69" t="s">
        <v>115</v>
      </c>
      <c r="H33" s="17"/>
      <c r="I33" s="69" t="s">
        <v>116</v>
      </c>
      <c r="J33" s="17"/>
      <c r="K33" s="50" t="s">
        <v>52</v>
      </c>
      <c r="L33" s="13"/>
      <c r="M33" s="13"/>
      <c r="N33" s="17"/>
    </row>
    <row r="34">
      <c r="A34" s="73"/>
      <c r="B34" s="74"/>
      <c r="C34" s="13"/>
      <c r="D34" s="17"/>
      <c r="E34" s="74"/>
      <c r="F34" s="17"/>
      <c r="G34" s="74"/>
      <c r="H34" s="17"/>
      <c r="I34" s="74"/>
      <c r="J34" s="17"/>
      <c r="K34" s="74"/>
      <c r="L34" s="13"/>
      <c r="M34" s="13"/>
      <c r="N34" s="17"/>
    </row>
    <row r="35">
      <c r="A35" s="73"/>
      <c r="B35" s="74"/>
      <c r="C35" s="13"/>
      <c r="D35" s="17"/>
      <c r="E35" s="74"/>
      <c r="F35" s="17"/>
      <c r="G35" s="74"/>
      <c r="H35" s="17"/>
      <c r="I35" s="74"/>
      <c r="J35" s="17"/>
      <c r="K35" s="74"/>
      <c r="L35" s="13"/>
      <c r="M35" s="13"/>
      <c r="N35" s="17"/>
    </row>
    <row r="36">
      <c r="A36" s="73"/>
      <c r="B36" s="74"/>
      <c r="C36" s="13"/>
      <c r="D36" s="17"/>
      <c r="E36" s="74"/>
      <c r="F36" s="17"/>
      <c r="G36" s="74"/>
      <c r="H36" s="17"/>
      <c r="I36" s="74"/>
      <c r="J36" s="17"/>
      <c r="K36" s="74"/>
      <c r="L36" s="13"/>
      <c r="M36" s="13"/>
      <c r="N36" s="17"/>
    </row>
    <row r="37">
      <c r="A37" s="73"/>
      <c r="B37" s="74"/>
      <c r="C37" s="13"/>
      <c r="D37" s="17"/>
      <c r="E37" s="74"/>
      <c r="F37" s="17"/>
      <c r="G37" s="74"/>
      <c r="H37" s="17"/>
      <c r="I37" s="74"/>
      <c r="J37" s="17"/>
      <c r="K37" s="74"/>
      <c r="L37" s="13"/>
      <c r="M37" s="13"/>
      <c r="N37" s="17"/>
    </row>
    <row r="38">
      <c r="A38" s="73"/>
      <c r="B38" s="74"/>
      <c r="C38" s="13"/>
      <c r="D38" s="17"/>
      <c r="E38" s="74"/>
      <c r="F38" s="17"/>
      <c r="G38" s="74"/>
      <c r="H38" s="17"/>
      <c r="I38" s="74"/>
      <c r="J38" s="17"/>
      <c r="K38" s="74"/>
      <c r="L38" s="13"/>
      <c r="M38" s="13"/>
      <c r="N38" s="17"/>
    </row>
    <row r="39" ht="22.5" customHeight="1">
      <c r="A39" s="89"/>
      <c r="B39" s="89"/>
      <c r="C39" s="90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</row>
    <row r="40" ht="22.5" customHeight="1">
      <c r="A40" s="89"/>
      <c r="B40" s="89"/>
      <c r="C40" s="90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</row>
    <row r="41" ht="22.5" customHeight="1">
      <c r="A41" s="89"/>
      <c r="B41" s="89"/>
      <c r="C41" s="90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</row>
    <row r="42" ht="22.5" customHeight="1">
      <c r="A42" s="96"/>
      <c r="B42" s="96"/>
      <c r="C42" s="97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</row>
  </sheetData>
  <mergeCells count="87">
    <mergeCell ref="G25:H25"/>
    <mergeCell ref="I25:J25"/>
    <mergeCell ref="K17:N17"/>
    <mergeCell ref="K18:N18"/>
    <mergeCell ref="K19:N19"/>
    <mergeCell ref="K20:N20"/>
    <mergeCell ref="K21:N21"/>
    <mergeCell ref="E25:F25"/>
    <mergeCell ref="K25:N25"/>
    <mergeCell ref="A1:C3"/>
    <mergeCell ref="D1:J3"/>
    <mergeCell ref="K1:N1"/>
    <mergeCell ref="K2:N2"/>
    <mergeCell ref="K3:N3"/>
    <mergeCell ref="A4:J4"/>
    <mergeCell ref="K4:N4"/>
    <mergeCell ref="G6:L6"/>
    <mergeCell ref="G7:L7"/>
    <mergeCell ref="A5:B5"/>
    <mergeCell ref="C5:E5"/>
    <mergeCell ref="G5:L5"/>
    <mergeCell ref="A6:B6"/>
    <mergeCell ref="C6:E6"/>
    <mergeCell ref="A7:B7"/>
    <mergeCell ref="C7:E7"/>
    <mergeCell ref="H10:H11"/>
    <mergeCell ref="I10:I11"/>
    <mergeCell ref="A8:B8"/>
    <mergeCell ref="C8:L8"/>
    <mergeCell ref="A10:A11"/>
    <mergeCell ref="B10:B11"/>
    <mergeCell ref="C10:E10"/>
    <mergeCell ref="F10:F11"/>
    <mergeCell ref="G10:G11"/>
    <mergeCell ref="J10:J11"/>
    <mergeCell ref="K10:N11"/>
    <mergeCell ref="K12:N12"/>
    <mergeCell ref="K13:N13"/>
    <mergeCell ref="K14:N14"/>
    <mergeCell ref="K15:N15"/>
    <mergeCell ref="K16:N16"/>
    <mergeCell ref="E27:F27"/>
    <mergeCell ref="G27:H27"/>
    <mergeCell ref="B33:D33"/>
    <mergeCell ref="B34:D34"/>
    <mergeCell ref="E34:F34"/>
    <mergeCell ref="G34:H34"/>
    <mergeCell ref="I34:J34"/>
    <mergeCell ref="K34:N34"/>
    <mergeCell ref="B35:D35"/>
    <mergeCell ref="E35:F35"/>
    <mergeCell ref="G35:H35"/>
    <mergeCell ref="B36:D36"/>
    <mergeCell ref="E36:F36"/>
    <mergeCell ref="G36:H36"/>
    <mergeCell ref="I36:J36"/>
    <mergeCell ref="I37:J37"/>
    <mergeCell ref="I27:J27"/>
    <mergeCell ref="K27:N27"/>
    <mergeCell ref="B25:D25"/>
    <mergeCell ref="B26:D26"/>
    <mergeCell ref="E26:F26"/>
    <mergeCell ref="G26:H26"/>
    <mergeCell ref="I26:J26"/>
    <mergeCell ref="K26:N26"/>
    <mergeCell ref="B27:D27"/>
    <mergeCell ref="G33:H33"/>
    <mergeCell ref="I33:J33"/>
    <mergeCell ref="B28:D28"/>
    <mergeCell ref="E28:F28"/>
    <mergeCell ref="G28:H28"/>
    <mergeCell ref="I28:J28"/>
    <mergeCell ref="K28:N28"/>
    <mergeCell ref="E33:F33"/>
    <mergeCell ref="K33:N33"/>
    <mergeCell ref="I35:J35"/>
    <mergeCell ref="K35:N35"/>
    <mergeCell ref="K36:N36"/>
    <mergeCell ref="E37:F37"/>
    <mergeCell ref="G37:H37"/>
    <mergeCell ref="K37:N37"/>
    <mergeCell ref="B37:D37"/>
    <mergeCell ref="B38:D38"/>
    <mergeCell ref="E38:F38"/>
    <mergeCell ref="G38:H38"/>
    <mergeCell ref="I38:J38"/>
    <mergeCell ref="K38:N38"/>
  </mergeCells>
  <dataValidations>
    <dataValidation type="list" allowBlank="1" sqref="I12:I20 G26 I26">
      <formula1>"○ Yes,× No"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6.88"/>
    <col customWidth="1" min="3" max="3" width="12.0"/>
    <col customWidth="1" min="4" max="5" width="13.38"/>
    <col customWidth="1" min="6" max="6" width="13.5"/>
    <col customWidth="1" min="7" max="7" width="12.25"/>
    <col customWidth="1" min="8" max="8" width="10.63"/>
    <col customWidth="1" min="9" max="9" width="7.38"/>
    <col customWidth="1" min="10" max="10" width="13.38"/>
    <col customWidth="1" min="11" max="11" width="7.13"/>
    <col customWidth="1" min="12" max="12" width="7.0"/>
    <col customWidth="1" min="13" max="13" width="7.38"/>
    <col customWidth="1" min="14" max="14" width="14.75"/>
  </cols>
  <sheetData>
    <row r="1" ht="22.5" customHeight="1">
      <c r="A1" s="1"/>
      <c r="B1" s="2"/>
      <c r="C1" s="2"/>
      <c r="D1" s="3" t="s">
        <v>0</v>
      </c>
      <c r="E1" s="2"/>
      <c r="F1" s="2"/>
      <c r="G1" s="2"/>
      <c r="H1" s="2"/>
      <c r="I1" s="2"/>
      <c r="J1" s="2"/>
      <c r="K1" s="4" t="s">
        <v>1</v>
      </c>
      <c r="L1" s="2"/>
      <c r="M1" s="2"/>
      <c r="N1" s="5"/>
    </row>
    <row r="2" ht="22.5" customHeight="1">
      <c r="A2" s="6"/>
      <c r="D2" s="6"/>
      <c r="K2" s="7" t="s">
        <v>2</v>
      </c>
      <c r="N2" s="8"/>
    </row>
    <row r="3" ht="22.5" customHeight="1">
      <c r="A3" s="6"/>
      <c r="D3" s="6"/>
      <c r="K3" s="9" t="s">
        <v>3</v>
      </c>
      <c r="L3" s="10"/>
      <c r="M3" s="10"/>
      <c r="N3" s="11"/>
    </row>
    <row r="4">
      <c r="A4" s="12" t="s">
        <v>4</v>
      </c>
      <c r="B4" s="13"/>
      <c r="C4" s="13"/>
      <c r="D4" s="13"/>
      <c r="E4" s="13"/>
      <c r="F4" s="13"/>
      <c r="G4" s="13"/>
      <c r="H4" s="13"/>
      <c r="I4" s="13"/>
      <c r="J4" s="13"/>
      <c r="K4" s="14" t="s">
        <v>5</v>
      </c>
      <c r="L4" s="10"/>
      <c r="M4" s="10"/>
      <c r="N4" s="11"/>
    </row>
    <row r="5" ht="31.5" customHeight="1">
      <c r="A5" s="20" t="s">
        <v>7</v>
      </c>
      <c r="B5" s="17"/>
      <c r="C5" s="24" t="s">
        <v>54</v>
      </c>
      <c r="D5" s="13"/>
      <c r="E5" s="17"/>
      <c r="F5" s="26" t="s">
        <v>11</v>
      </c>
      <c r="G5" s="24" t="s">
        <v>56</v>
      </c>
      <c r="H5" s="13"/>
      <c r="I5" s="13"/>
      <c r="J5" s="13"/>
      <c r="K5" s="13"/>
      <c r="L5" s="17"/>
      <c r="M5" s="31" t="s">
        <v>15</v>
      </c>
      <c r="N5" s="34">
        <v>44270.0</v>
      </c>
    </row>
    <row r="6" ht="31.5" customHeight="1">
      <c r="A6" s="20" t="s">
        <v>19</v>
      </c>
      <c r="B6" s="17"/>
      <c r="C6" s="24" t="s">
        <v>34</v>
      </c>
      <c r="D6" s="13"/>
      <c r="E6" s="17"/>
      <c r="F6" s="26" t="s">
        <v>18</v>
      </c>
      <c r="G6" s="24" t="s">
        <v>56</v>
      </c>
      <c r="H6" s="13"/>
      <c r="I6" s="13"/>
      <c r="J6" s="13"/>
      <c r="K6" s="13"/>
      <c r="L6" s="17"/>
      <c r="M6" s="31" t="s">
        <v>25</v>
      </c>
      <c r="N6" s="59" t="s">
        <v>49</v>
      </c>
    </row>
    <row r="7" ht="31.5" customHeight="1">
      <c r="A7" s="20" t="s">
        <v>28</v>
      </c>
      <c r="B7" s="17"/>
      <c r="C7" s="24" t="s">
        <v>59</v>
      </c>
      <c r="D7" s="13"/>
      <c r="E7" s="17"/>
      <c r="F7" s="26" t="s">
        <v>29</v>
      </c>
      <c r="G7" s="24" t="s">
        <v>61</v>
      </c>
      <c r="H7" s="13"/>
      <c r="I7" s="13"/>
      <c r="J7" s="13"/>
      <c r="K7" s="13"/>
      <c r="L7" s="17"/>
      <c r="M7" s="31" t="s">
        <v>33</v>
      </c>
      <c r="N7" s="34">
        <v>44270.0</v>
      </c>
    </row>
    <row r="8" ht="31.5" customHeight="1">
      <c r="A8" s="20" t="s">
        <v>22</v>
      </c>
      <c r="B8" s="17"/>
      <c r="C8" s="42"/>
      <c r="D8" s="13"/>
      <c r="E8" s="13"/>
      <c r="F8" s="13"/>
      <c r="G8" s="13"/>
      <c r="H8" s="13"/>
      <c r="I8" s="13"/>
      <c r="J8" s="13"/>
      <c r="K8" s="13"/>
      <c r="L8" s="17"/>
      <c r="M8" s="31" t="s">
        <v>27</v>
      </c>
      <c r="N8" s="59" t="s">
        <v>49</v>
      </c>
    </row>
    <row r="9" ht="31.5" customHeight="1">
      <c r="A9" s="64" t="s">
        <v>36</v>
      </c>
      <c r="N9" s="16"/>
    </row>
    <row r="10" ht="22.5" customHeight="1">
      <c r="A10" s="47" t="s">
        <v>39</v>
      </c>
      <c r="B10" s="48" t="s">
        <v>42</v>
      </c>
      <c r="C10" s="50" t="s">
        <v>44</v>
      </c>
      <c r="D10" s="13"/>
      <c r="E10" s="17"/>
      <c r="F10" s="48" t="s">
        <v>45</v>
      </c>
      <c r="G10" s="48" t="s">
        <v>46</v>
      </c>
      <c r="H10" s="48" t="s">
        <v>47</v>
      </c>
      <c r="I10" s="48" t="s">
        <v>48</v>
      </c>
      <c r="J10" s="48" t="s">
        <v>50</v>
      </c>
      <c r="K10" s="53" t="s">
        <v>52</v>
      </c>
      <c r="L10" s="2"/>
      <c r="M10" s="2"/>
      <c r="N10" s="5"/>
    </row>
    <row r="11" ht="22.5" customHeight="1">
      <c r="A11" s="38"/>
      <c r="B11" s="38"/>
      <c r="C11" s="54" t="s">
        <v>30</v>
      </c>
      <c r="D11" s="54" t="s">
        <v>31</v>
      </c>
      <c r="E11" s="54" t="s">
        <v>32</v>
      </c>
      <c r="F11" s="38"/>
      <c r="G11" s="38"/>
      <c r="H11" s="38"/>
      <c r="I11" s="38"/>
      <c r="J11" s="38"/>
      <c r="K11" s="39"/>
      <c r="L11" s="10"/>
      <c r="M11" s="10"/>
      <c r="N11" s="11"/>
    </row>
    <row r="12" ht="22.5" customHeight="1">
      <c r="A12" s="57">
        <f t="shared" ref="A12:A21" si="1">ROW()-11</f>
        <v>1</v>
      </c>
      <c r="B12" s="57" t="s">
        <v>62</v>
      </c>
      <c r="C12" s="58" t="s">
        <v>63</v>
      </c>
      <c r="D12" s="58" t="s">
        <v>64</v>
      </c>
      <c r="E12" s="58" t="s">
        <v>64</v>
      </c>
      <c r="F12" s="58" t="s">
        <v>65</v>
      </c>
      <c r="G12" s="58" t="s">
        <v>66</v>
      </c>
      <c r="H12" s="60" t="s">
        <v>67</v>
      </c>
      <c r="I12" s="60" t="s">
        <v>68</v>
      </c>
      <c r="J12" s="60"/>
      <c r="K12" s="62"/>
      <c r="L12" s="10"/>
      <c r="M12" s="10"/>
      <c r="N12" s="11"/>
    </row>
    <row r="13" ht="22.5" customHeight="1">
      <c r="A13" s="57">
        <f t="shared" si="1"/>
        <v>2</v>
      </c>
      <c r="B13" s="57"/>
      <c r="C13" s="58" t="s">
        <v>69</v>
      </c>
      <c r="D13" s="58" t="s">
        <v>70</v>
      </c>
      <c r="E13" s="58" t="s">
        <v>70</v>
      </c>
      <c r="F13" s="58" t="s">
        <v>71</v>
      </c>
      <c r="G13" s="58" t="s">
        <v>66</v>
      </c>
      <c r="H13" s="63">
        <v>2.0</v>
      </c>
      <c r="I13" s="60" t="s">
        <v>68</v>
      </c>
      <c r="J13" s="60"/>
      <c r="K13" s="62"/>
      <c r="L13" s="10"/>
      <c r="M13" s="10"/>
      <c r="N13" s="11"/>
    </row>
    <row r="14" ht="22.5" customHeight="1">
      <c r="A14" s="57">
        <f t="shared" si="1"/>
        <v>3</v>
      </c>
      <c r="B14" s="57"/>
      <c r="C14" s="58" t="s">
        <v>72</v>
      </c>
      <c r="D14" s="58" t="s">
        <v>73</v>
      </c>
      <c r="E14" s="60" t="s">
        <v>74</v>
      </c>
      <c r="F14" s="58" t="s">
        <v>75</v>
      </c>
      <c r="G14" s="58" t="s">
        <v>77</v>
      </c>
      <c r="H14" s="63">
        <v>64.0</v>
      </c>
      <c r="I14" s="60" t="s">
        <v>68</v>
      </c>
      <c r="J14" s="60"/>
      <c r="K14" s="62"/>
      <c r="L14" s="10"/>
      <c r="M14" s="10"/>
      <c r="N14" s="11"/>
    </row>
    <row r="15" ht="22.5" customHeight="1">
      <c r="A15" s="57">
        <f t="shared" si="1"/>
        <v>4</v>
      </c>
      <c r="B15" s="57"/>
      <c r="C15" s="58" t="s">
        <v>78</v>
      </c>
      <c r="D15" s="58" t="s">
        <v>79</v>
      </c>
      <c r="E15" s="60" t="s">
        <v>80</v>
      </c>
      <c r="F15" s="58" t="s">
        <v>79</v>
      </c>
      <c r="G15" s="58" t="s">
        <v>77</v>
      </c>
      <c r="H15" s="63">
        <v>64.0</v>
      </c>
      <c r="I15" s="60" t="s">
        <v>68</v>
      </c>
      <c r="J15" s="58"/>
      <c r="K15" s="62"/>
      <c r="L15" s="10"/>
      <c r="M15" s="10"/>
      <c r="N15" s="11"/>
    </row>
    <row r="16" ht="22.5" customHeight="1">
      <c r="A16" s="57">
        <f t="shared" si="1"/>
        <v>5</v>
      </c>
      <c r="B16" s="57"/>
      <c r="C16" s="58" t="s">
        <v>82</v>
      </c>
      <c r="D16" s="58" t="s">
        <v>83</v>
      </c>
      <c r="E16" s="58" t="s">
        <v>83</v>
      </c>
      <c r="F16" s="58" t="s">
        <v>83</v>
      </c>
      <c r="G16" s="58" t="s">
        <v>77</v>
      </c>
      <c r="H16" s="65" t="s">
        <v>85</v>
      </c>
      <c r="I16" s="60" t="s">
        <v>68</v>
      </c>
      <c r="J16" s="58"/>
      <c r="K16" s="62"/>
      <c r="L16" s="10"/>
      <c r="M16" s="10"/>
      <c r="N16" s="11"/>
    </row>
    <row r="17" ht="22.5" customHeight="1">
      <c r="A17" s="57">
        <f t="shared" si="1"/>
        <v>6</v>
      </c>
      <c r="B17" s="57"/>
      <c r="C17" s="58" t="s">
        <v>87</v>
      </c>
      <c r="D17" s="58" t="s">
        <v>88</v>
      </c>
      <c r="E17" s="60" t="s">
        <v>89</v>
      </c>
      <c r="F17" s="58" t="s">
        <v>88</v>
      </c>
      <c r="G17" s="58" t="s">
        <v>77</v>
      </c>
      <c r="H17" s="63">
        <v>45.0</v>
      </c>
      <c r="I17" s="60" t="s">
        <v>91</v>
      </c>
      <c r="J17" s="58" t="s">
        <v>92</v>
      </c>
      <c r="K17" s="62"/>
      <c r="L17" s="10"/>
      <c r="M17" s="10"/>
      <c r="N17" s="11"/>
    </row>
    <row r="18" ht="22.5" customHeight="1">
      <c r="A18" s="57">
        <f t="shared" si="1"/>
        <v>7</v>
      </c>
      <c r="B18" s="57"/>
      <c r="C18" s="58" t="s">
        <v>93</v>
      </c>
      <c r="D18" s="60" t="s">
        <v>94</v>
      </c>
      <c r="E18" s="58" t="s">
        <v>95</v>
      </c>
      <c r="F18" s="58" t="s">
        <v>96</v>
      </c>
      <c r="G18" s="58" t="s">
        <v>97</v>
      </c>
      <c r="H18" s="58"/>
      <c r="I18" s="60" t="s">
        <v>91</v>
      </c>
      <c r="J18" s="58" t="s">
        <v>92</v>
      </c>
      <c r="K18" s="62"/>
      <c r="L18" s="10"/>
      <c r="M18" s="10"/>
      <c r="N18" s="11"/>
    </row>
    <row r="19" ht="22.5" customHeight="1">
      <c r="A19" s="57">
        <f t="shared" si="1"/>
        <v>8</v>
      </c>
      <c r="B19" s="57"/>
      <c r="C19" s="58" t="s">
        <v>98</v>
      </c>
      <c r="D19" s="60" t="s">
        <v>99</v>
      </c>
      <c r="E19" s="60" t="s">
        <v>100</v>
      </c>
      <c r="F19" s="58" t="s">
        <v>101</v>
      </c>
      <c r="G19" s="58" t="s">
        <v>97</v>
      </c>
      <c r="H19" s="58"/>
      <c r="I19" s="60" t="s">
        <v>91</v>
      </c>
      <c r="J19" s="58" t="s">
        <v>92</v>
      </c>
      <c r="K19" s="62"/>
      <c r="L19" s="10"/>
      <c r="M19" s="10"/>
      <c r="N19" s="11"/>
    </row>
    <row r="20" ht="22.5" customHeight="1">
      <c r="A20" s="57">
        <f t="shared" si="1"/>
        <v>9</v>
      </c>
      <c r="B20" s="57"/>
      <c r="C20" s="58" t="s">
        <v>102</v>
      </c>
      <c r="D20" s="60" t="s">
        <v>103</v>
      </c>
      <c r="E20" s="58" t="s">
        <v>104</v>
      </c>
      <c r="F20" s="58" t="s">
        <v>105</v>
      </c>
      <c r="G20" s="58" t="s">
        <v>97</v>
      </c>
      <c r="H20" s="58"/>
      <c r="I20" s="60" t="s">
        <v>91</v>
      </c>
      <c r="J20" s="58" t="s">
        <v>92</v>
      </c>
      <c r="K20" s="62"/>
      <c r="L20" s="10"/>
      <c r="M20" s="10"/>
      <c r="N20" s="11"/>
    </row>
    <row r="21" ht="22.5" customHeight="1">
      <c r="A21" s="57">
        <f t="shared" si="1"/>
        <v>10</v>
      </c>
      <c r="B21" s="57"/>
      <c r="C21" s="58"/>
      <c r="D21" s="58"/>
      <c r="E21" s="58"/>
      <c r="F21" s="58"/>
      <c r="G21" s="58"/>
      <c r="H21" s="58"/>
      <c r="I21" s="58"/>
      <c r="J21" s="58"/>
      <c r="K21" s="62"/>
      <c r="L21" s="10"/>
      <c r="M21" s="10"/>
      <c r="N21" s="11"/>
    </row>
    <row r="22" ht="22.5" customHeight="1">
      <c r="A22" s="66"/>
      <c r="B22" s="66"/>
      <c r="C22" s="67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ht="22.5" customHeight="1">
      <c r="A23" s="66"/>
      <c r="B23" s="66"/>
      <c r="C23" s="67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</row>
    <row r="24" ht="22.5" customHeight="1">
      <c r="A24" s="66"/>
      <c r="B24" s="66"/>
      <c r="C24" s="67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</row>
    <row r="25" ht="22.5" customHeight="1">
      <c r="A25" s="66"/>
      <c r="B25" s="66"/>
      <c r="C25" s="67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</row>
    <row r="26" ht="22.5" customHeight="1">
      <c r="A26" s="66"/>
      <c r="B26" s="66"/>
      <c r="C26" s="67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</row>
    <row r="27" ht="22.5" customHeight="1">
      <c r="A27" s="75" t="s">
        <v>76</v>
      </c>
      <c r="N27" s="16"/>
    </row>
    <row r="28">
      <c r="A28" s="68" t="s">
        <v>39</v>
      </c>
      <c r="B28" s="69" t="s">
        <v>81</v>
      </c>
      <c r="C28" s="13"/>
      <c r="D28" s="17"/>
      <c r="E28" s="69" t="s">
        <v>84</v>
      </c>
      <c r="F28" s="17"/>
      <c r="G28" s="69" t="s">
        <v>86</v>
      </c>
      <c r="H28" s="17"/>
      <c r="I28" s="69" t="s">
        <v>90</v>
      </c>
      <c r="J28" s="17"/>
      <c r="K28" s="50" t="s">
        <v>52</v>
      </c>
      <c r="L28" s="13"/>
      <c r="M28" s="13"/>
      <c r="N28" s="17"/>
    </row>
    <row r="29">
      <c r="A29" s="84" t="s">
        <v>107</v>
      </c>
      <c r="B29" s="74" t="s">
        <v>109</v>
      </c>
      <c r="C29" s="13"/>
      <c r="D29" s="17"/>
      <c r="E29" s="74" t="s">
        <v>64</v>
      </c>
      <c r="F29" s="17"/>
      <c r="G29" s="77" t="s">
        <v>68</v>
      </c>
      <c r="H29" s="17"/>
      <c r="I29" s="77" t="s">
        <v>68</v>
      </c>
      <c r="J29" s="17"/>
      <c r="K29" s="74"/>
      <c r="L29" s="13"/>
      <c r="M29" s="13"/>
      <c r="N29" s="17"/>
    </row>
    <row r="30">
      <c r="A30" s="73"/>
      <c r="B30" s="74"/>
      <c r="C30" s="13"/>
      <c r="D30" s="17"/>
      <c r="E30" s="74"/>
      <c r="F30" s="17"/>
      <c r="G30" s="74"/>
      <c r="H30" s="17"/>
      <c r="I30" s="74"/>
      <c r="J30" s="17"/>
      <c r="K30" s="74"/>
      <c r="L30" s="13"/>
      <c r="M30" s="13"/>
      <c r="N30" s="17"/>
    </row>
    <row r="31">
      <c r="A31" s="73"/>
      <c r="B31" s="74"/>
      <c r="C31" s="13"/>
      <c r="D31" s="17"/>
      <c r="E31" s="74"/>
      <c r="F31" s="17"/>
      <c r="G31" s="74"/>
      <c r="H31" s="17"/>
      <c r="I31" s="74"/>
      <c r="J31" s="17"/>
      <c r="K31" s="74"/>
      <c r="L31" s="13"/>
      <c r="M31" s="13"/>
      <c r="N31" s="17"/>
    </row>
    <row r="32" ht="22.5" customHeight="1">
      <c r="A32" s="89"/>
      <c r="B32" s="89"/>
      <c r="C32" s="90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</row>
    <row r="33" ht="22.5" customHeight="1">
      <c r="A33" s="89"/>
      <c r="B33" s="89"/>
      <c r="C33" s="90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</row>
    <row r="34" ht="22.5" customHeight="1">
      <c r="A34" s="89"/>
      <c r="B34" s="89"/>
      <c r="C34" s="90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</row>
    <row r="35" ht="22.5" customHeight="1">
      <c r="A35" s="44" t="s">
        <v>113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3"/>
    </row>
    <row r="36">
      <c r="A36" s="68" t="s">
        <v>39</v>
      </c>
      <c r="B36" s="69" t="s">
        <v>114</v>
      </c>
      <c r="C36" s="13"/>
      <c r="D36" s="17"/>
      <c r="E36" s="69" t="s">
        <v>84</v>
      </c>
      <c r="F36" s="17"/>
      <c r="G36" s="69" t="s">
        <v>115</v>
      </c>
      <c r="H36" s="17"/>
      <c r="I36" s="69" t="s">
        <v>116</v>
      </c>
      <c r="J36" s="17"/>
      <c r="K36" s="50" t="s">
        <v>52</v>
      </c>
      <c r="L36" s="13"/>
      <c r="M36" s="13"/>
      <c r="N36" s="17"/>
    </row>
    <row r="37" ht="22.5" customHeight="1">
      <c r="A37" s="73"/>
      <c r="B37" s="74"/>
      <c r="C37" s="13"/>
      <c r="D37" s="17"/>
      <c r="E37" s="74"/>
      <c r="F37" s="17"/>
      <c r="G37" s="74"/>
      <c r="H37" s="17"/>
      <c r="I37" s="74"/>
      <c r="J37" s="17"/>
      <c r="K37" s="74"/>
      <c r="L37" s="13"/>
      <c r="M37" s="13"/>
      <c r="N37" s="17"/>
    </row>
    <row r="38" ht="22.5" customHeight="1">
      <c r="A38" s="73"/>
      <c r="B38" s="74"/>
      <c r="C38" s="13"/>
      <c r="D38" s="17"/>
      <c r="E38" s="74"/>
      <c r="F38" s="17"/>
      <c r="G38" s="74"/>
      <c r="H38" s="17"/>
      <c r="I38" s="74"/>
      <c r="J38" s="17"/>
      <c r="K38" s="74"/>
      <c r="L38" s="13"/>
      <c r="M38" s="13"/>
      <c r="N38" s="17"/>
    </row>
    <row r="39">
      <c r="A39" s="73"/>
      <c r="B39" s="74"/>
      <c r="C39" s="13"/>
      <c r="D39" s="17"/>
      <c r="E39" s="74"/>
      <c r="F39" s="17"/>
      <c r="G39" s="74"/>
      <c r="H39" s="17"/>
      <c r="I39" s="74"/>
      <c r="J39" s="17"/>
      <c r="K39" s="74"/>
      <c r="L39" s="13"/>
      <c r="M39" s="13"/>
      <c r="N39" s="17"/>
    </row>
    <row r="40">
      <c r="A40" s="73"/>
      <c r="B40" s="74"/>
      <c r="C40" s="13"/>
      <c r="D40" s="17"/>
      <c r="E40" s="74"/>
      <c r="F40" s="17"/>
      <c r="G40" s="74"/>
      <c r="H40" s="17"/>
      <c r="I40" s="74"/>
      <c r="J40" s="17"/>
      <c r="K40" s="74"/>
      <c r="L40" s="13"/>
      <c r="M40" s="13"/>
      <c r="N40" s="17"/>
    </row>
    <row r="41">
      <c r="A41" s="73"/>
      <c r="B41" s="74"/>
      <c r="C41" s="13"/>
      <c r="D41" s="17"/>
      <c r="E41" s="74"/>
      <c r="F41" s="17"/>
      <c r="G41" s="74"/>
      <c r="H41" s="17"/>
      <c r="I41" s="74"/>
      <c r="J41" s="17"/>
      <c r="K41" s="74"/>
      <c r="L41" s="13"/>
      <c r="M41" s="13"/>
      <c r="N41" s="17"/>
    </row>
    <row r="42" ht="22.5" customHeight="1">
      <c r="A42" s="66"/>
      <c r="B42" s="66"/>
      <c r="C42" s="67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</row>
    <row r="43" ht="22.5" customHeight="1">
      <c r="A43" s="66"/>
      <c r="B43" s="66"/>
      <c r="C43" s="67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</row>
  </sheetData>
  <mergeCells count="89">
    <mergeCell ref="A1:C3"/>
    <mergeCell ref="D1:J3"/>
    <mergeCell ref="K1:N1"/>
    <mergeCell ref="K2:N2"/>
    <mergeCell ref="K3:N3"/>
    <mergeCell ref="A4:J4"/>
    <mergeCell ref="K4:N4"/>
    <mergeCell ref="G6:L6"/>
    <mergeCell ref="G7:L7"/>
    <mergeCell ref="A5:B5"/>
    <mergeCell ref="C5:E5"/>
    <mergeCell ref="G5:L5"/>
    <mergeCell ref="A6:B6"/>
    <mergeCell ref="C6:E6"/>
    <mergeCell ref="A7:B7"/>
    <mergeCell ref="C7:E7"/>
    <mergeCell ref="G10:G11"/>
    <mergeCell ref="H10:H11"/>
    <mergeCell ref="I10:I11"/>
    <mergeCell ref="J10:J11"/>
    <mergeCell ref="A8:B8"/>
    <mergeCell ref="C8:L8"/>
    <mergeCell ref="A9:N9"/>
    <mergeCell ref="A10:A11"/>
    <mergeCell ref="B10:B11"/>
    <mergeCell ref="C10:E10"/>
    <mergeCell ref="F10:F11"/>
    <mergeCell ref="K10:N11"/>
    <mergeCell ref="K12:N12"/>
    <mergeCell ref="K13:N13"/>
    <mergeCell ref="K14:N14"/>
    <mergeCell ref="K15:N15"/>
    <mergeCell ref="K16:N16"/>
    <mergeCell ref="K17:N17"/>
    <mergeCell ref="E36:F36"/>
    <mergeCell ref="G36:H36"/>
    <mergeCell ref="K36:N36"/>
    <mergeCell ref="B36:D36"/>
    <mergeCell ref="B37:D37"/>
    <mergeCell ref="E37:F37"/>
    <mergeCell ref="G37:H37"/>
    <mergeCell ref="I37:J37"/>
    <mergeCell ref="K37:N37"/>
    <mergeCell ref="B38:D38"/>
    <mergeCell ref="G40:H40"/>
    <mergeCell ref="I40:J40"/>
    <mergeCell ref="B40:D40"/>
    <mergeCell ref="B41:D41"/>
    <mergeCell ref="E41:F41"/>
    <mergeCell ref="G41:H41"/>
    <mergeCell ref="I41:J41"/>
    <mergeCell ref="K41:N41"/>
    <mergeCell ref="B39:D39"/>
    <mergeCell ref="E39:F39"/>
    <mergeCell ref="G39:H39"/>
    <mergeCell ref="I39:J39"/>
    <mergeCell ref="K39:N39"/>
    <mergeCell ref="E40:F40"/>
    <mergeCell ref="K40:N40"/>
    <mergeCell ref="G28:H28"/>
    <mergeCell ref="I28:J28"/>
    <mergeCell ref="K18:N18"/>
    <mergeCell ref="K19:N19"/>
    <mergeCell ref="K20:N20"/>
    <mergeCell ref="K21:N21"/>
    <mergeCell ref="A27:N27"/>
    <mergeCell ref="E28:F28"/>
    <mergeCell ref="K28:N28"/>
    <mergeCell ref="I30:J30"/>
    <mergeCell ref="K30:N30"/>
    <mergeCell ref="K31:N31"/>
    <mergeCell ref="B28:D28"/>
    <mergeCell ref="B29:D29"/>
    <mergeCell ref="E29:F29"/>
    <mergeCell ref="G29:H29"/>
    <mergeCell ref="I29:J29"/>
    <mergeCell ref="K29:N29"/>
    <mergeCell ref="B30:D30"/>
    <mergeCell ref="E30:F30"/>
    <mergeCell ref="G30:H30"/>
    <mergeCell ref="B31:D31"/>
    <mergeCell ref="E31:F31"/>
    <mergeCell ref="G31:H31"/>
    <mergeCell ref="I31:J31"/>
    <mergeCell ref="I36:J36"/>
    <mergeCell ref="E38:F38"/>
    <mergeCell ref="G38:H38"/>
    <mergeCell ref="I38:J38"/>
    <mergeCell ref="K38:N38"/>
  </mergeCells>
  <dataValidations>
    <dataValidation type="list" allowBlank="1" sqref="I12:I20 G29 I29">
      <formula1>"○ Yes,× No"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38"/>
    <col customWidth="1" min="3" max="3" width="17.75"/>
    <col customWidth="1" min="6" max="6" width="4.25"/>
  </cols>
  <sheetData>
    <row r="1">
      <c r="A1" s="76"/>
      <c r="B1" s="76"/>
      <c r="C1" s="76"/>
      <c r="D1" s="76"/>
      <c r="E1" s="76"/>
      <c r="F1" s="78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76"/>
      <c r="B2" s="81" t="s">
        <v>16</v>
      </c>
      <c r="C2" s="82"/>
      <c r="D2" s="81"/>
      <c r="E2" s="76"/>
      <c r="F2" s="81" t="s">
        <v>106</v>
      </c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A3" s="76"/>
      <c r="B3" s="85" t="s">
        <v>108</v>
      </c>
      <c r="C3" s="86" t="s">
        <v>110</v>
      </c>
      <c r="D3" s="81"/>
      <c r="E3" s="76"/>
      <c r="F3" s="87" t="s">
        <v>108</v>
      </c>
      <c r="G3" s="88" t="s">
        <v>111</v>
      </c>
      <c r="H3" s="88" t="s">
        <v>112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6"/>
      <c r="B4" s="92">
        <f t="array" ref="B4:B8">ROW(B4:B8)-3</f>
        <v>1</v>
      </c>
      <c r="C4" s="94" t="s">
        <v>38</v>
      </c>
      <c r="D4" s="81"/>
      <c r="E4" s="76"/>
      <c r="F4" s="95">
        <v>1.0</v>
      </c>
      <c r="G4" s="94" t="s">
        <v>49</v>
      </c>
      <c r="H4" s="94" t="s">
        <v>117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76"/>
      <c r="B5" s="92">
        <v>2.0</v>
      </c>
      <c r="C5" s="94" t="s">
        <v>118</v>
      </c>
      <c r="D5" s="81"/>
      <c r="E5" s="76"/>
      <c r="F5" s="94">
        <v>2.0</v>
      </c>
      <c r="G5" s="92"/>
      <c r="H5" s="92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76"/>
      <c r="B6" s="92">
        <v>3.0</v>
      </c>
      <c r="C6" s="94" t="s">
        <v>119</v>
      </c>
      <c r="D6" s="81"/>
      <c r="E6" s="76"/>
      <c r="F6" s="94">
        <v>3.0</v>
      </c>
      <c r="G6" s="92"/>
      <c r="H6" s="92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76"/>
      <c r="B7" s="92">
        <v>4.0</v>
      </c>
      <c r="C7" s="92"/>
      <c r="D7" s="81"/>
      <c r="E7" s="76"/>
      <c r="F7" s="94">
        <v>4.0</v>
      </c>
      <c r="G7" s="92"/>
      <c r="H7" s="92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76"/>
      <c r="B8" s="92">
        <v>5.0</v>
      </c>
      <c r="C8" s="92"/>
      <c r="D8" s="81"/>
      <c r="E8" s="76"/>
      <c r="F8" s="94">
        <v>5.0</v>
      </c>
      <c r="G8" s="92"/>
      <c r="H8" s="92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76"/>
      <c r="B9" s="76"/>
      <c r="C9" s="76"/>
      <c r="D9" s="81"/>
      <c r="E9" s="76"/>
      <c r="F9" s="94">
        <v>6.0</v>
      </c>
      <c r="G9" s="92"/>
      <c r="H9" s="92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76"/>
      <c r="B10" s="76"/>
      <c r="C10" s="76"/>
      <c r="D10" s="76"/>
      <c r="E10" s="76"/>
      <c r="F10" s="94">
        <v>7.0</v>
      </c>
      <c r="G10" s="92"/>
      <c r="H10" s="92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76"/>
      <c r="B11" s="76"/>
      <c r="C11" s="76"/>
      <c r="D11" s="76"/>
      <c r="E11" s="76"/>
      <c r="F11" s="94">
        <v>8.0</v>
      </c>
      <c r="G11" s="92"/>
      <c r="H11" s="92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76"/>
      <c r="B12" s="76"/>
      <c r="C12" s="76"/>
      <c r="D12" s="76"/>
      <c r="E12" s="76"/>
      <c r="F12" s="94">
        <v>9.0</v>
      </c>
      <c r="G12" s="92"/>
      <c r="H12" s="92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76"/>
      <c r="B13" s="76"/>
      <c r="C13" s="76"/>
      <c r="D13" s="76"/>
      <c r="E13" s="76"/>
      <c r="F13" s="94">
        <v>10.0</v>
      </c>
      <c r="G13" s="92"/>
      <c r="H13" s="92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76"/>
      <c r="B14" s="81" t="s">
        <v>14</v>
      </c>
      <c r="C14" s="81"/>
      <c r="D14" s="81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76"/>
      <c r="B15" s="85" t="s">
        <v>108</v>
      </c>
      <c r="C15" s="88" t="s">
        <v>110</v>
      </c>
      <c r="D15" s="88" t="s">
        <v>120</v>
      </c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76"/>
      <c r="B16" s="92">
        <f t="array" ref="B16:B20">ROW(B16:B20)-15</f>
        <v>1</v>
      </c>
      <c r="C16" s="94" t="s">
        <v>37</v>
      </c>
      <c r="D16" s="92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76"/>
      <c r="B17" s="92">
        <v>2.0</v>
      </c>
      <c r="C17" s="94" t="s">
        <v>121</v>
      </c>
      <c r="D17" s="92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6"/>
      <c r="B18" s="92">
        <v>3.0</v>
      </c>
      <c r="C18" s="94"/>
      <c r="D18" s="92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6"/>
      <c r="B19" s="92">
        <v>4.0</v>
      </c>
      <c r="C19" s="92"/>
      <c r="D19" s="92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6"/>
      <c r="B20" s="92">
        <v>5.0</v>
      </c>
      <c r="C20" s="92"/>
      <c r="D20" s="92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A26" s="76"/>
      <c r="B26" s="82" t="s">
        <v>122</v>
      </c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A27" s="76"/>
      <c r="B27" s="98" t="s">
        <v>108</v>
      </c>
      <c r="C27" s="99" t="s">
        <v>123</v>
      </c>
      <c r="D27" s="99" t="s">
        <v>124</v>
      </c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A28" s="76"/>
      <c r="B28" s="92">
        <f t="array" ref="B28:B32">ROW(B28:B32)-27</f>
        <v>1</v>
      </c>
      <c r="C28" s="94" t="s">
        <v>125</v>
      </c>
      <c r="D28" s="94" t="s">
        <v>126</v>
      </c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A29" s="76"/>
      <c r="B29" s="92">
        <v>2.0</v>
      </c>
      <c r="C29" s="94" t="s">
        <v>127</v>
      </c>
      <c r="D29" s="94" t="s">
        <v>128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A30" s="76"/>
      <c r="B30" s="92">
        <v>3.0</v>
      </c>
      <c r="C30" s="94" t="s">
        <v>60</v>
      </c>
      <c r="D30" s="94" t="s">
        <v>129</v>
      </c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>
      <c r="A31" s="76"/>
      <c r="B31" s="92">
        <v>4.0</v>
      </c>
      <c r="C31" s="94" t="s">
        <v>130</v>
      </c>
      <c r="D31" s="94" t="s">
        <v>131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>
      <c r="A32" s="76"/>
      <c r="B32" s="92">
        <v>5.0</v>
      </c>
      <c r="C32" s="94" t="s">
        <v>132</v>
      </c>
      <c r="D32" s="94" t="s">
        <v>133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</sheetData>
  <mergeCells count="1">
    <mergeCell ref="B26:D26"/>
  </mergeCells>
  <drawing r:id="rId1"/>
</worksheet>
</file>