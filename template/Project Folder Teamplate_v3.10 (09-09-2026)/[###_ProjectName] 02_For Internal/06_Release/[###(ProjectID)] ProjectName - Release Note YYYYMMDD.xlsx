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5"/>
    <sheet state="visible" name="SampleRelease Process" sheetId="2" r:id="rId6"/>
    <sheet state="visible" name="Release Checklist" sheetId="3" r:id="rId7"/>
    <sheet state="visible" name="Release Process" sheetId="4" r:id="rId8"/>
    <sheet state="visible" name="Blockchain ProjectProcess for d" sheetId="5" r:id="rId9"/>
    <sheet state="visible" name="Infrastructure Checklist" sheetId="6" r:id="rId10"/>
  </sheets>
  <definedNames>
    <definedName hidden="1" localSheetId="2" name="Z_6FB47249_8F10_422E_9EEC_45B41AAAA7DB_.wvu.FilterData">'Release Checklist'!$A$12:$H$62</definedName>
    <definedName hidden="1" localSheetId="2" name="Z_9902FBB8_219D_4D07_BC5D_61D4EBEDB706_.wvu.FilterData">'Release Checklist'!$A$11:$H$61</definedName>
    <definedName hidden="1" localSheetId="2" name="Z_D8FE823B_EE22_4BA3_BDE8_5D86388E4C04_.wvu.FilterData">'Release Checklist'!$A$11:$H$62</definedName>
    <definedName hidden="1" localSheetId="2" name="Z_B08F0C95_0871_49FA_A7B6_15E9A8B505F3_.wvu.FilterData">'Release Checklist'!$A$11:$H$61</definedName>
    <definedName hidden="1" localSheetId="2" name="Z_2B0FA1FA_3EB9_4CB3_8A37_2E13F9D8D377_.wvu.FilterData">'Release Checklist'!$A$11:$H$61</definedName>
  </definedNames>
  <calcPr/>
  <customWorkbookViews>
    <customWorkbookView activeSheetId="0" maximized="1" windowHeight="0" windowWidth="0" guid="{6FB47249-8F10-422E-9EEC-45B41AAAA7DB}" name="BE"/>
    <customWorkbookView activeSheetId="0" maximized="1" windowHeight="0" windowWidth="0" guid="{9902FBB8-219D-4D07-BC5D-61D4EBEDB706}" name="For Server"/>
    <customWorkbookView activeSheetId="0" maximized="1" windowHeight="0" windowWidth="0" guid="{D8FE823B-EE22-4BA3-BDE8-5D86388E4C04}" name="For Android"/>
    <customWorkbookView activeSheetId="0" maximized="1" windowHeight="0" windowWidth="0" guid="{B08F0C95-0871-49FA-A7B6-15E9A8B505F3}" name="For iOS"/>
    <customWorkbookView activeSheetId="0" maximized="1" windowHeight="0" windowWidth="0" guid="{2B0FA1FA-3EB9-4CB3-8A37-2E13F9D8D377}" name="For F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5">
      <text>
        <t xml:space="preserve">Nếu dự án có hoạt đông Release liên quan đến Infra vui lòng sử dụng Infra Checklist để đánh giá lại môi trường Release.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2">
      <text>
        <t xml:space="preserve">Nếu dự án có hoạt đông Release liên quan đến Infra vui lòng sử dụng Infra Checklist để đánh giá lại môi trường Release. 
</t>
      </text>
    </comment>
  </commentList>
</comments>
</file>

<file path=xl/sharedStrings.xml><?xml version="1.0" encoding="utf-8"?>
<sst xmlns="http://schemas.openxmlformats.org/spreadsheetml/2006/main" count="858" uniqueCount="454">
  <si>
    <t>RELEASE NOTE</t>
  </si>
  <si>
    <t>No: BM-QT-1701-18</t>
  </si>
  <si>
    <t>Version: 1.4</t>
  </si>
  <si>
    <t>Issue Date: 22/09/2026</t>
  </si>
  <si>
    <t>SUN ASTERISK VIETNAM CO., LTD</t>
  </si>
  <si>
    <t>ISO/IEC 27001:2013&amp;ISO 9001:2015</t>
  </si>
  <si>
    <t>HISTORY OF CHANGES</t>
  </si>
  <si>
    <t>No</t>
  </si>
  <si>
    <t>Change Item</t>
  </si>
  <si>
    <t>Description of changes</t>
  </si>
  <si>
    <t>Change Date</t>
  </si>
  <si>
    <t>Add new</t>
  </si>
  <si>
    <t>Sheet Release Checklist, row 46</t>
  </si>
  <si>
    <t>Bổ sung item check "Review các risk liên quan đến hoạt động release"</t>
  </si>
  <si>
    <t>19/01/2022</t>
  </si>
  <si>
    <t>Sheet [Blockchain Project] Process for deploy to mainnet</t>
  </si>
  <si>
    <t>Bổ sung Release Process để deploy lên mainnet dành cho dòng dự án Blockchain</t>
  </si>
  <si>
    <t>13/02/2023</t>
  </si>
  <si>
    <t>Sheet _x0008_Release Process
Sheet [Sampe]Release Process
Sheet Infrastructure Checklist</t>
  </si>
  <si>
    <t>Bổ sung Release Process để dành cho những dự án liên quan đến Infra trong hoạt động Release.
Thêm mới sheet Infrastructure Checklist.</t>
  </si>
  <si>
    <t>5</t>
  </si>
  <si>
    <t>All sheet</t>
  </si>
  <si>
    <t>Update mã biểu mẫu theo tiêu chuẩn ISO.</t>
  </si>
  <si>
    <t>22/09/2026</t>
  </si>
  <si>
    <t>* Mandatory items</t>
  </si>
  <si>
    <r>
      <rPr>
        <rFont val="Arial"/>
        <b/>
        <color rgb="FF666666"/>
        <sz val="18.0"/>
      </rPr>
      <t>Release Date</t>
    </r>
    <r>
      <rPr>
        <rFont val="Arial"/>
        <b/>
        <color rgb="FFFF0000"/>
        <sz val="18.0"/>
      </rPr>
      <t>*</t>
    </r>
  </si>
  <si>
    <t>Expected start time</t>
  </si>
  <si>
    <t>8:00 2020-09-17</t>
  </si>
  <si>
    <t>Expected end time</t>
  </si>
  <si>
    <t>16:00 2020-09-17</t>
  </si>
  <si>
    <t>PIC (Person In Charge)</t>
  </si>
  <si>
    <t>Nguyen Van A</t>
  </si>
  <si>
    <t>Milestone/Sprint</t>
  </si>
  <si>
    <t>1.0</t>
  </si>
  <si>
    <t>Version</t>
  </si>
  <si>
    <t>v.1.0.0</t>
  </si>
  <si>
    <t>Environment</t>
  </si>
  <si>
    <t>Staging/Production</t>
  </si>
  <si>
    <r>
      <rPr>
        <rFont val="Arial"/>
        <b/>
        <color rgb="FF666666"/>
        <sz val="18.0"/>
      </rPr>
      <t>Release Schedule</t>
    </r>
    <r>
      <rPr>
        <rFont val="Arial"/>
        <b/>
        <color rgb="FFFF0000"/>
        <sz val="18.0"/>
      </rPr>
      <t>*</t>
    </r>
  </si>
  <si>
    <t>Time</t>
  </si>
  <si>
    <t>PIC</t>
  </si>
  <si>
    <t>Task</t>
  </si>
  <si>
    <t>Status</t>
  </si>
  <si>
    <t>8:00 GMT 9/9/2020</t>
  </si>
  <si>
    <t>Sun*</t>
  </si>
  <si>
    <t>Deploy API</t>
  </si>
  <si>
    <t>9:00 GMT 9/9/2020</t>
  </si>
  <si>
    <t>Deploy Staging</t>
  </si>
  <si>
    <t>10:00 GMT 9/9/2020</t>
  </si>
  <si>
    <t>Client</t>
  </si>
  <si>
    <t>Verify on Staging</t>
  </si>
  <si>
    <t>15:00 GMT 9/9/2020</t>
  </si>
  <si>
    <t>Deploy on Production</t>
  </si>
  <si>
    <t>17:00 GMT 9/9/2020</t>
  </si>
  <si>
    <t>Verify on Production</t>
  </si>
  <si>
    <t>.......</t>
  </si>
  <si>
    <r>
      <rPr>
        <rFont val="Arial"/>
        <b/>
        <color rgb="FF666666"/>
        <sz val="18.0"/>
      </rPr>
      <t>Target Release List</t>
    </r>
    <r>
      <rPr>
        <rFont val="Arial"/>
        <b/>
        <color rgb="FFFF0000"/>
        <sz val="18.0"/>
      </rPr>
      <t>*</t>
    </r>
  </si>
  <si>
    <t>Feature name</t>
  </si>
  <si>
    <t>Redmine link</t>
  </si>
  <si>
    <t>Testcase list</t>
  </si>
  <si>
    <t>Test Result by [Sun* PIC Name]</t>
  </si>
  <si>
    <t>Feature name 1</t>
  </si>
  <si>
    <t>https://dev.sun-asterisk.com/projects/abc/123</t>
  </si>
  <si>
    <t>Link TC (from case n to case m)</t>
  </si>
  <si>
    <t>Feature name 2</t>
  </si>
  <si>
    <t>Feature name 3</t>
  </si>
  <si>
    <t>Feature name 4</t>
  </si>
  <si>
    <t>Feature name 5</t>
  </si>
  <si>
    <t>........</t>
  </si>
  <si>
    <t>....</t>
  </si>
  <si>
    <t>Infrastructure Release Note Link</t>
  </si>
  <si>
    <t>Does this release require infrastructure configuration checking and/or infrastructure configuration changes?
If "Yes", please use the Infrastructure checklist to re-evaluate the release environment.</t>
  </si>
  <si>
    <t>Yes</t>
  </si>
  <si>
    <t>Link checklist</t>
  </si>
  <si>
    <t>Infrastructure Checklist</t>
  </si>
  <si>
    <t>Confirm</t>
  </si>
  <si>
    <t>Sun* Final Inspection</t>
  </si>
  <si>
    <t>PIC Name</t>
  </si>
  <si>
    <r>
      <rPr>
        <rFont val="Arial"/>
        <b/>
        <color rgb="FF666666"/>
        <sz val="18.0"/>
      </rPr>
      <t xml:space="preserve">Remaining Items </t>
    </r>
    <r>
      <rPr>
        <rFont val="Arial"/>
        <b/>
        <color rgb="FFFF0000"/>
        <sz val="18.0"/>
      </rPr>
      <t>*</t>
    </r>
  </si>
  <si>
    <t>Description</t>
  </si>
  <si>
    <t>Issue 1</t>
  </si>
  <si>
    <t>Bug 1</t>
  </si>
  <si>
    <t>......</t>
  </si>
  <si>
    <t>Notes For Client (if have)</t>
  </si>
  <si>
    <t>No.</t>
  </si>
  <si>
    <t>System downtime/need maintain...</t>
  </si>
  <si>
    <t>.....</t>
  </si>
  <si>
    <t>Client Acceptance Testcase List</t>
  </si>
  <si>
    <t xml:space="preserve">Function Name </t>
  </si>
  <si>
    <t>Test feature Login</t>
  </si>
  <si>
    <t>Test feature Sort</t>
  </si>
  <si>
    <t>Test Order flow</t>
  </si>
  <si>
    <t>...........</t>
  </si>
  <si>
    <t>Approved List</t>
  </si>
  <si>
    <t>Role</t>
  </si>
  <si>
    <t>Name</t>
  </si>
  <si>
    <t>Nguyen Van B</t>
  </si>
  <si>
    <t>Project leader</t>
  </si>
  <si>
    <t>Nguyen Van C</t>
  </si>
  <si>
    <t>QA Leader</t>
  </si>
  <si>
    <t>Nguyen Van D</t>
  </si>
  <si>
    <r>
      <rPr>
        <rFont val="Arial"/>
        <b/>
        <color rgb="FF666666"/>
        <sz val="18.0"/>
      </rPr>
      <t>Release Process</t>
    </r>
    <r>
      <rPr>
        <rFont val="Arial"/>
        <b/>
        <color rgb="FFFF0000"/>
        <sz val="18.0"/>
      </rPr>
      <t>*</t>
    </r>
  </si>
  <si>
    <t>Note: All the operators have to follow the steps below while the operation proceeds.
Especially do NOT carry out your operation until the previous step completed and confirmed.</t>
  </si>
  <si>
    <t>#</t>
  </si>
  <si>
    <t>Operator</t>
  </si>
  <si>
    <t>Target
(location where operation occur)</t>
  </si>
  <si>
    <t>Operation</t>
  </si>
  <si>
    <t>Estimated operation
time (minutes)</t>
  </si>
  <si>
    <t>Definition of Done</t>
  </si>
  <si>
    <t>Done</t>
  </si>
  <si>
    <t>Operation preparations</t>
  </si>
  <si>
    <t>SVN Nguyen Van A</t>
  </si>
  <si>
    <t>Chatwork</t>
  </si>
  <si>
    <t>Reports client to start release operation on the production environment.</t>
  </si>
  <si>
    <t>Client confirm agreement about the plan</t>
  </si>
  <si>
    <t xml:space="preserve">Confirm and notify all leader: client approves production operation starts </t>
  </si>
  <si>
    <t>SVN Nguyen Van A 
SVN Nguyen Van B
SVN Nguyen Van C</t>
  </si>
  <si>
    <t>Chatwork, Meet</t>
  </si>
  <si>
    <r>
      <rPr>
        <rFont val="Arial"/>
        <color theme="1"/>
      </rPr>
      <t xml:space="preserve">_x0008_Confirm all feature will deploy. Check version of app and server.
Version deploy: </t>
    </r>
    <r>
      <rPr>
        <rFont val="Arial"/>
        <b/>
        <color theme="1"/>
      </rPr>
      <t>release_v1.2.0_20201112</t>
    </r>
    <r>
      <rPr>
        <rFont val="Arial"/>
        <color theme="1"/>
      </rPr>
      <t xml:space="preserve">         
Confirm release order :
- Server
- Native build 
- Frontend build</t>
    </r>
  </si>
  <si>
    <t>_x0008_Update and confirm release checklist 
Update and confirm test scope (QA)</t>
  </si>
  <si>
    <t>Operation steps</t>
  </si>
  <si>
    <t>Teraform/ Codebuild</t>
  </si>
  <si>
    <t>_x0008_Update release tag for all repo.</t>
  </si>
  <si>
    <t>CodePipeline</t>
  </si>
  <si>
    <t>Deploy server (admin + API + worker)</t>
  </si>
  <si>
    <t xml:space="preserve">Build ABC app </t>
  </si>
  <si>
    <t>SVN Nguyen Van D</t>
  </si>
  <si>
    <t>Deploy ABC Web</t>
  </si>
  <si>
    <t>Check deployment logs, application logs</t>
  </si>
  <si>
    <t>Prod application</t>
  </si>
  <si>
    <t>Confirm related feature from Server API and Native release success at the same version release.
(Checklist commit, code)</t>
  </si>
  <si>
    <t>Report To SVN Nguyen Van A deploy result
SVN Nguyen Van A  report To customer and confirm SVN QA test on application</t>
  </si>
  <si>
    <t>Check application log after release if have any errors.</t>
  </si>
  <si>
    <t>Check run commands logs</t>
  </si>
  <si>
    <t>SVN Nguyen Van C</t>
  </si>
  <si>
    <t>SVN Nguyen Van A reports SVN Nguyen Van B to start checking run command logs on prd-api 192.168.70.45</t>
  </si>
  <si>
    <t>prd-api
192.168.70.45</t>
  </si>
  <si>
    <t>SVN Nguyen Van A  checks the run commands logs on prd-api 192.168.70.45 at folder /var/log/deploy/</t>
  </si>
  <si>
    <t>SVN Nguyen Van A  reports SVN Nguyen Van B that the check run commands logs on prd-api 192.168.70.45 completed</t>
  </si>
  <si>
    <t>Check database changed, database logs</t>
  </si>
  <si>
    <t>SVN Nguyen Van A  reports SVN Nguyen Van B to start checking database logs on prd-api 192.168.70.45</t>
  </si>
  <si>
    <t>SVN Nguyen Van A checks the database logs on prd-api 192.168.70.45 at folder /var/log/deploy/</t>
  </si>
  <si>
    <t>SVN Nguyen Van A  reports SVN Nguyen Van B that the check database logs on prd-api 192.168.70.45 completed</t>
  </si>
  <si>
    <t>Develop application</t>
  </si>
  <si>
    <t>Hotfix bug if have any requirement from QA after confirming with clients.</t>
  </si>
  <si>
    <r>
      <rPr>
        <rFont val="Arial"/>
        <color theme="1"/>
      </rPr>
      <t xml:space="preserve">Release hotfix with tag: </t>
    </r>
    <r>
      <rPr>
        <rFont val="Arial"/>
        <b/>
        <color theme="1"/>
      </rPr>
      <t>release_v1.2.x_20201112</t>
    </r>
  </si>
  <si>
    <t>Confirm bugs and all test cases pass.</t>
  </si>
  <si>
    <t>QA check after release</t>
  </si>
  <si>
    <t>SVN Nguyen Van A reports SVN Nguyen Van B the test cases will be executed to check after release</t>
  </si>
  <si>
    <t>SVN Nguyen Van A reports SVN Nguyen Van B to start testing for deployed features on production environment</t>
  </si>
  <si>
    <t>prd-web
192.168.70.35
prd-admin
192.168.70.55</t>
  </si>
  <si>
    <t>SVN Nguyen Van A executes the test for deployed features on production environment according to test plan</t>
  </si>
  <si>
    <t>SVN Nguyen Van A reports SVN Nguyen Van B that the test for deployed features on production environment completed</t>
  </si>
  <si>
    <t>SVN Nguyen Van A reports Customer that the test for deployed features on production environment completed</t>
  </si>
  <si>
    <t>Operation finish</t>
  </si>
  <si>
    <t>Report To clients deploy result</t>
  </si>
  <si>
    <t>Update all report, deploy checklist</t>
  </si>
  <si>
    <r>
      <rPr>
        <rFont val="Arial"/>
        <b/>
        <color rgb="FF666666"/>
        <sz val="18.0"/>
      </rPr>
      <t>Rollback Steps</t>
    </r>
    <r>
      <rPr>
        <rFont val="Arial"/>
        <b/>
        <color rgb="FFFF0000"/>
        <sz val="18.0"/>
      </rPr>
      <t>*</t>
    </r>
  </si>
  <si>
    <t>Rollback preparations</t>
  </si>
  <si>
    <t xml:space="preserve">SVN Nguyen Van A </t>
  </si>
  <si>
    <t>SVN Nguyen Van A reports client to start rollback operation on the production environment.</t>
  </si>
  <si>
    <t xml:space="preserve">Confirm and notify all leader: client approves production rollback operation starts </t>
  </si>
  <si>
    <r>
      <rPr>
        <rFont val="Arial"/>
        <color theme="1"/>
      </rPr>
      <t xml:space="preserve">_x0008_Confirm all feature will change. Check version of app and server.
Version rollback deploy: </t>
    </r>
    <r>
      <rPr>
        <rFont val="Arial"/>
        <b/>
        <color theme="1"/>
      </rPr>
      <t>release_v1.2.0_20201112</t>
    </r>
    <r>
      <rPr>
        <rFont val="Arial"/>
        <color theme="1"/>
      </rPr>
      <t xml:space="preserve">         
Confirm release order :
- Server
- Native build (shipper app, Consumer app, Restaurant app)
- Frontend build (Consumer web, Restaurant web)</t>
    </r>
  </si>
  <si>
    <t>Confirm _x0008_database change to select rollback DB method
- "rails db:rollback"
- rollback rds from snapshots</t>
  </si>
  <si>
    <t>Rollback steps</t>
  </si>
  <si>
    <t>Apply method rollback.
- "rails db:rollback"
- rollback rds from snapshots</t>
  </si>
  <si>
    <t>Terraform/ Codebuild</t>
  </si>
  <si>
    <t>Deploy server (admin + API + worker) 
(Please describe all steps at here)</t>
  </si>
  <si>
    <t>SVN Nguyen Van B</t>
  </si>
  <si>
    <t>Build app</t>
  </si>
  <si>
    <t>Deploy App</t>
  </si>
  <si>
    <t>Deploy Web</t>
  </si>
  <si>
    <t>Check rollback logs, application logs</t>
  </si>
  <si>
    <t>Report To SVN Nguyen Van A deploy result
SVN Nguyen Van A report To customer and confirm SVN QA test on application</t>
  </si>
  <si>
    <t>SVN check migration on server. Check data in table changed if have.</t>
  </si>
  <si>
    <t>QA check after rollback</t>
  </si>
  <si>
    <t>Check with scope define release environment</t>
  </si>
  <si>
    <r>
      <rPr>
        <rFont val="Arial"/>
        <color theme="1"/>
      </rPr>
      <t xml:space="preserve">Release hotfix with tag: </t>
    </r>
    <r>
      <rPr>
        <rFont val="Arial"/>
        <b/>
        <color theme="1"/>
      </rPr>
      <t>release_v1.1.x_20201112</t>
    </r>
  </si>
  <si>
    <t>Rollback finish</t>
  </si>
  <si>
    <t>SVN Nguyen Van A reports client that rollback operation on the production environment have been finished</t>
  </si>
  <si>
    <t>Release Checklist</t>
  </si>
  <si>
    <t>Backend</t>
  </si>
  <si>
    <t>Frontend</t>
  </si>
  <si>
    <t>iOS</t>
  </si>
  <si>
    <t>Android</t>
  </si>
  <si>
    <t>Number of checked items</t>
  </si>
  <si>
    <t xml:space="preserve">         </t>
  </si>
  <si>
    <t>Check Items</t>
  </si>
  <si>
    <t>Note</t>
  </si>
  <si>
    <t>Pre Release</t>
  </si>
  <si>
    <t>■ Create a new pull request for this release.</t>
  </si>
  <si>
    <t xml:space="preserve">
</t>
  </si>
  <si>
    <t>■ Create a new tag for this release.</t>
  </si>
  <si>
    <t>■ Check differences between a new tag and the last release tag.</t>
  </si>
  <si>
    <r>
      <rPr>
        <rFont val="arial, sans, sans-serif"/>
        <b/>
        <color theme="1"/>
      </rPr>
      <t>Compare tag:</t>
    </r>
    <r>
      <rPr>
        <rFont val="arial, sans, sans-serif"/>
        <color theme="1"/>
      </rPr>
      <t xml:space="preserve">
git log --oneline previous_tag..new_tag --pretty=format:"%h %s - By '%an'"</t>
    </r>
  </si>
  <si>
    <t>■ Check the increase of the app version/build.</t>
  </si>
  <si>
    <t>N/A</t>
  </si>
  <si>
    <t>■ Check the target scheme for the corresponding environment and configuration file of this release.</t>
  </si>
  <si>
    <t xml:space="preserve">■ Check the validity of the certificate and provisioning distribution.
</t>
  </si>
  <si>
    <t>Certificate and provisioning distribution are provided by Apple in a year. Pls go to the Signing and Capabilities tab to check</t>
  </si>
  <si>
    <r>
      <rPr>
        <rFont val="Arial"/>
      </rPr>
      <t xml:space="preserve">■ Check the size information of the icon app.
Refer: </t>
    </r>
    <r>
      <rPr>
        <rFont val="Arial"/>
        <color rgb="FF1155CC"/>
        <u/>
      </rPr>
      <t>https://sal.vn/6zNgD</t>
    </r>
    <r>
      <rPr>
        <rFont val="Arial"/>
      </rPr>
      <t>b</t>
    </r>
  </si>
  <si>
    <t>■ Check the accuracy of deployment information.
- Device type
- Supported OS version
- Device orientation</t>
  </si>
  <si>
    <t>■ Pass a review of all passcode statement for any DB change.</t>
  </si>
  <si>
    <t>■ Check mapping between API Link, API Key on source code with API document.</t>
  </si>
  <si>
    <t>■ Check the changes relating to the local database.</t>
  </si>
  <si>
    <t>■ Check the changes of database model cause to a crash app or bugs.</t>
  </si>
  <si>
    <t>■ Check the system has downtime or needs the maintenance mode.</t>
  </si>
  <si>
    <t>■ Check the migrating old database model in case of database model has changed.</t>
  </si>
  <si>
    <r>
      <rPr>
        <rFont val="arial, sans, sans-serif"/>
        <b/>
        <color theme="1"/>
      </rPr>
      <t>Migration List:</t>
    </r>
    <r>
      <rPr>
        <rFont val="arial, sans, sans-serif"/>
        <color theme="1"/>
      </rPr>
      <t xml:space="preserve">
db/migrate/20180531031337_change_columns_x.rb
db/migrate/20180601011236_create_friendships.rb</t>
    </r>
  </si>
  <si>
    <t>■ Check the release dependencies between the platforms (Server, FE, IOS, Android)</t>
  </si>
  <si>
    <t>■Has an environment variable preparation operation in case of updating or create a new environment variable</t>
  </si>
  <si>
    <t>■ Check whether ABIs's correct with the application which's using Android NDK.</t>
  </si>
  <si>
    <t xml:space="preserve">■ Remove DEBUG and TEST LOG statement. 
</t>
  </si>
  <si>
    <t>■ Check the right key for the environments (Google KEY, Third-party libs, ...)</t>
  </si>
  <si>
    <t>■ Test whether file export exceeds the allowed capacity of Google Play?
■ Check the file extension if the application has any file handling feature.</t>
  </si>
  <si>
    <t>■ Check following Google's policy.</t>
  </si>
  <si>
    <t>■ Check MIN level SDK with the minimum supported version &amp; MAX SDK with the maximum supported version on Android device.</t>
  </si>
  <si>
    <t>■ Update or create the environment variable in this release.</t>
  </si>
  <si>
    <r>
      <rPr>
        <rFont val="arial, sans, sans-serif"/>
        <b/>
        <color theme="1"/>
      </rPr>
      <t>Update:</t>
    </r>
    <r>
      <rPr>
        <rFont val="arial, sans, sans-serif"/>
        <color theme="1"/>
      </rPr>
      <t xml:space="preserve">
APP_VERSION = 2.01
</t>
    </r>
    <r>
      <rPr>
        <rFont val="arial, sans, sans-serif"/>
        <b/>
        <color theme="1"/>
      </rPr>
      <t xml:space="preserve">
New:</t>
    </r>
    <r>
      <rPr>
        <rFont val="arial, sans, sans-serif"/>
        <color theme="1"/>
      </rPr>
      <t xml:space="preserve">
SECRET_KEY = "AKIAMNEDNH67H"</t>
    </r>
  </si>
  <si>
    <t xml:space="preserve">■ Add or delete the setting file in this release.
</t>
  </si>
  <si>
    <t>The setting files are google firebase, google purchase key.., saved on server. Depending on the function of each release, Dev need to determine the setting files.
E.g.: google_firebase.json file, aws_keypair.pem file</t>
  </si>
  <si>
    <t xml:space="preserve">■ Have any step to update in the admin
</t>
  </si>
  <si>
    <t>Some functions are installed dynamically on the admin page, so it is necessary to define the update steps on admin before release.
E.g.: Enable/Disable comment function, Change email to receive error messenger.</t>
  </si>
  <si>
    <t>■ Add, edit or delete the batch/cronjob.</t>
  </si>
  <si>
    <r>
      <rPr>
        <rFont val="arial, sans, sans-serif"/>
        <b/>
        <color theme="1"/>
      </rPr>
      <t>Batch/Cronjob List:</t>
    </r>
    <r>
      <rPr>
        <rFont val="arial, sans, sans-serif"/>
        <color theme="1"/>
      </rPr>
      <t xml:space="preserve">
●Add New:
# 20 0 * * * sh $APP_HOME/config/batch_exec.sh Batches::BatchHandler.push_notification([1, 2, 3, 4]) 2&gt;&amp;1 | logger -t batch_exec.s
●Update: n/a
●Delete: n/a</t>
    </r>
  </si>
  <si>
    <t>■ Mask email of the client in the staging environment and the production environment before the release.</t>
  </si>
  <si>
    <r>
      <rPr>
        <rFont val="arial, sans, sans-serif"/>
        <b/>
        <color theme="1"/>
      </rPr>
      <t xml:space="preserve">Mask email: </t>
    </r>
    <r>
      <rPr>
        <rFont val="arial, sans, sans-serif"/>
        <color theme="1"/>
      </rPr>
      <t xml:space="preserve">
Hide your real email, avoid being exposed to email, resulting in loss of personal information and spam mail.</t>
    </r>
  </si>
  <si>
    <t>■ List all scripts, rake tasks for this release.</t>
  </si>
  <si>
    <r>
      <rPr>
        <rFont val="arial, sans, sans-serif"/>
        <b/>
        <color theme="1"/>
      </rPr>
      <t>Script / rake task:</t>
    </r>
    <r>
      <rPr>
        <rFont val="arial, sans, sans-serif"/>
        <color theme="1"/>
      </rPr>
      <t xml:space="preserve">
●Run before deploy: n/a
●Run after deploy:
bundle exec rake task_a: update information                                                                                                                       
bundle exec rake task_b: update information                                                                                                       </t>
    </r>
  </si>
  <si>
    <t>■ Set Force Update Version if it needs.</t>
  </si>
  <si>
    <t>■ Backup database</t>
  </si>
  <si>
    <t>■ Pass the review for all deploy commands.</t>
  </si>
  <si>
    <t>■ Create a document for a server rollback when the deploy-process fails.</t>
  </si>
  <si>
    <t>■ Has a reporting process for the client about information before release (estimate time for the release, milestones for every step)</t>
  </si>
  <si>
    <t>■ Review các risk liên quan đến hoạt động release (Risk Origin = Project Operation)</t>
  </si>
  <si>
    <t>...</t>
  </si>
  <si>
    <t>Add new item at here</t>
  </si>
  <si>
    <t>Release</t>
  </si>
  <si>
    <t>■ Confirm a report step at the beginning of the release.</t>
  </si>
  <si>
    <r>
      <rPr>
        <rFont val="arial, sans, sans-serif"/>
        <b/>
        <color theme="1"/>
      </rPr>
      <t>Report contents:</t>
    </r>
    <r>
      <rPr>
        <rFont val="arial, sans, sans-serif"/>
        <color theme="1"/>
      </rPr>
      <t xml:space="preserve">
- Version release:
- Release features (with ticket number):
- Start time:
- End time (estimated):</t>
    </r>
  </si>
  <si>
    <t>■ Inform the client &amp; QA Team to conduct testing when the app's approved.
■ In case the app's rejected, report the client, then find the reason and fix it.</t>
  </si>
  <si>
    <t xml:space="preserve">■ Recheck with the app having In-App purchase or redirect to Server from Google console
</t>
  </si>
  <si>
    <t>- In-App purchase is a payment feature to buy products or service in the app
- How to check:
  Check product_id of config in the app(product_id is a key config in google console and supplied by client)
If the release doesn't have a payment feature, auto by pass this item.</t>
  </si>
  <si>
    <t>■ Check the error during the deployment</t>
  </si>
  <si>
    <r>
      <rPr>
        <rFont val="arial, sans, sans-serif"/>
        <b/>
        <color theme="1"/>
      </rPr>
      <t>Error log:</t>
    </r>
    <r>
      <rPr>
        <rFont val="arial, sans, sans-serif"/>
        <color theme="1"/>
      </rPr>
      <t xml:space="preserve">
[ERROR] Can't found 'abc' library </t>
    </r>
  </si>
  <si>
    <t>■ Save the evidence of failed deployment
Such as:
- The screen shows the result (on terminal screen)
- File text contains the result of deploy-progress</t>
  </si>
  <si>
    <t>After Release</t>
  </si>
  <si>
    <t>■ Has a reporting process at the finish of deployment</t>
  </si>
  <si>
    <r>
      <rPr>
        <rFont val="arial, sans, sans-serif"/>
        <b/>
        <color theme="1"/>
      </rPr>
      <t>Report content:</t>
    </r>
    <r>
      <rPr>
        <rFont val="arial, sans, sans-serif"/>
        <color theme="1"/>
      </rPr>
      <t xml:space="preserve">
- Version release:
- Release features (with ticket number):
- Deployment is finished at:
- Status: 
- Next action: check deploy result
- Next action will finish at: </t>
    </r>
  </si>
  <si>
    <t>■ Check the status of service (database, puma, Redis, crontab)</t>
  </si>
  <si>
    <t>● Using "Final inspection checklist" of QA team</t>
  </si>
  <si>
    <t>■ Check log of services (database, puma, Redis, crontab)</t>
  </si>
  <si>
    <t>■ Test on production environment via Test Plan
E.g:
- Google service
- SMS service
- .....</t>
  </si>
  <si>
    <t>■ Monitor the service conditions in the case the app has crashed or causes an error (Google Play Console reports, other tools integrated into the app, or user comments).</t>
  </si>
  <si>
    <t>■ Has a reporting process when the release completed</t>
  </si>
  <si>
    <r>
      <rPr>
        <rFont val="Arial"/>
        <b/>
        <color rgb="FF666666"/>
        <sz val="18.0"/>
      </rPr>
      <t>Release Date</t>
    </r>
    <r>
      <rPr>
        <rFont val="Arial"/>
        <b/>
        <color rgb="FFFF0000"/>
        <sz val="18.0"/>
      </rPr>
      <t>*</t>
    </r>
  </si>
  <si>
    <t>YYYY/MM/DD</t>
  </si>
  <si>
    <r>
      <rPr>
        <rFont val="Arial"/>
        <b/>
        <color rgb="FF666666"/>
        <sz val="18.0"/>
      </rPr>
      <t>Release Schedule</t>
    </r>
    <r>
      <rPr>
        <rFont val="Arial"/>
        <b/>
        <color rgb="FFFF0000"/>
        <sz val="18.0"/>
      </rPr>
      <t>*</t>
    </r>
  </si>
  <si>
    <r>
      <rPr>
        <rFont val="Arial"/>
        <b/>
        <color rgb="FF666666"/>
        <sz val="18.0"/>
      </rPr>
      <t>Target Release List</t>
    </r>
    <r>
      <rPr>
        <rFont val="Arial"/>
        <b/>
        <color rgb="FFFF0000"/>
        <sz val="18.0"/>
      </rPr>
      <t>*</t>
    </r>
  </si>
  <si>
    <t>Link</t>
  </si>
  <si>
    <r>
      <rPr>
        <rFont val="Arial"/>
        <b/>
        <color rgb="FF666666"/>
        <sz val="18.0"/>
      </rPr>
      <t xml:space="preserve">Remaining Items </t>
    </r>
    <r>
      <rPr>
        <rFont val="Arial"/>
        <b/>
        <color rgb="FFFF0000"/>
        <sz val="18.0"/>
      </rPr>
      <t>*</t>
    </r>
  </si>
  <si>
    <r>
      <rPr>
        <rFont val="Arial"/>
        <b/>
        <color rgb="FF666666"/>
        <sz val="18.0"/>
      </rPr>
      <t>Release Process</t>
    </r>
    <r>
      <rPr>
        <rFont val="Arial"/>
        <b/>
        <color rgb="FFFF0000"/>
        <sz val="18.0"/>
      </rPr>
      <t>*</t>
    </r>
  </si>
  <si>
    <r>
      <rPr>
        <rFont val="Arial"/>
        <b/>
        <color rgb="FF666666"/>
        <sz val="18.0"/>
      </rPr>
      <t>Rollback Steps</t>
    </r>
    <r>
      <rPr>
        <rFont val="Arial"/>
        <b/>
        <color rgb="FFFF0000"/>
        <sz val="18.0"/>
      </rPr>
      <t>*</t>
    </r>
  </si>
  <si>
    <t>Process for deploy to mainnet</t>
  </si>
  <si>
    <t>Deploy mainnet task</t>
  </si>
  <si>
    <t>Categories</t>
  </si>
  <si>
    <t>Tasks</t>
  </si>
  <si>
    <t>Updated Date</t>
  </si>
  <si>
    <t>Deploy mainnet</t>
  </si>
  <si>
    <t>Create a new wallet on an offline computer (without connecting Internet).</t>
  </si>
  <si>
    <t>Create and sign offline transaction and deploy smart contract by the offline wallet on the offline computer.</t>
  </si>
  <si>
    <t>Request native coin (ex: ETH/BTC/BNB, ...) -&gt; native coin transferred to the offline wallet.</t>
  </si>
  <si>
    <t>Use another online computer (with connecting Internet) to broadcast offline transaction to deploy smart contract.</t>
  </si>
  <si>
    <t>Create and sign offline transaction to transfer ownership by the offline wallet on offline computer.</t>
  </si>
  <si>
    <t>Use another online computer to broadcast offline transaction for transfer ownership.</t>
  </si>
  <si>
    <t>Check balance of the offline wallet after executing the deploy smart contract and transferring ownership.</t>
  </si>
  <si>
    <t>Create and sign an offline refund native coin transaction  by the offline wallet on the offline computer.</t>
  </si>
  <si>
    <t>Use another online computer to broadcast the offiline refund native coin transaction .</t>
  </si>
  <si>
    <r>
      <rPr>
        <rFont val="Arial"/>
        <b/>
        <color rgb="FF666666"/>
        <sz val="18.0"/>
      </rPr>
      <t>Release Date</t>
    </r>
    <r>
      <rPr>
        <rFont val="Arial"/>
        <b/>
        <color rgb="FFFF0000"/>
        <sz val="18.0"/>
      </rPr>
      <t>*</t>
    </r>
  </si>
  <si>
    <t>Infra member</t>
  </si>
  <si>
    <t>Project Leader</t>
  </si>
  <si>
    <r>
      <rPr>
        <rFont val="Arial"/>
        <b/>
        <color rgb="FF666666"/>
        <sz val="18.0"/>
      </rPr>
      <t>Infra Validation List</t>
    </r>
    <r>
      <rPr>
        <rFont val="Arial"/>
        <b/>
        <color rgb="FFFF0000"/>
        <sz val="18.0"/>
      </rPr>
      <t>*</t>
    </r>
  </si>
  <si>
    <t>Risk Item</t>
  </si>
  <si>
    <t>Recommend</t>
  </si>
  <si>
    <t>Level</t>
  </si>
  <si>
    <t>Explain</t>
  </si>
  <si>
    <t>How to setting</t>
  </si>
  <si>
    <t>Reason for not PASS</t>
  </si>
  <si>
    <t>AWS Root Account</t>
  </si>
  <si>
    <t>When you first create an Amazon Web Services (AWS) account. This identity is called the AWS account root user and is accessed by signing in with the email address and password that you used to create the account.</t>
  </si>
  <si>
    <t>→ Create a new IAM User and grant Administrator permission
→ Don't create access keys for your AWS Root account</t>
  </si>
  <si>
    <t>Very high</t>
  </si>
  <si>
    <r>
      <rPr>
        <rFont val="Arial"/>
        <color theme="1"/>
      </rPr>
      <t xml:space="preserve">● AWS strongly recommend that you do not use the root user for your everyday tasks, even the administrative ones. Instead, the best practice of </t>
    </r>
    <r>
      <rPr>
        <rFont val="Arial"/>
        <b/>
        <color theme="1"/>
      </rPr>
      <t>using the root user only to create your first IAM user</t>
    </r>
    <r>
      <rPr>
        <rFont val="Arial"/>
        <color theme="1"/>
      </rPr>
      <t>.
● The access key for your AWS account gives full access to all your resources for all AWS services, including your billing information</t>
    </r>
  </si>
  <si>
    <t>AWS IAM</t>
  </si>
  <si>
    <r>
      <rPr>
        <rFont val="Arial"/>
        <color theme="1"/>
      </rPr>
      <t xml:space="preserve">■ </t>
    </r>
    <r>
      <rPr>
        <rFont val="Arial"/>
        <b/>
        <color theme="1"/>
      </rPr>
      <t>AWS Architect</t>
    </r>
  </si>
  <si>
    <t xml:space="preserve">→ IAM user creation is allowed/not allowed for each environment
</t>
  </si>
  <si>
    <t xml:space="preserve">
●  Development environment: Admin, Infra, a few backend developers allowed to view logs
●  Verification environment: Admin, Infra, Lead Backend allowed to read application logs
●  Production environment: Admin, infra</t>
  </si>
  <si>
    <r>
      <rPr>
        <rFont val="Arial"/>
        <b/>
        <color theme="1"/>
      </rPr>
      <t xml:space="preserve">■ IAM User
</t>
    </r>
    <r>
      <rPr>
        <rFont val="Arial"/>
        <color theme="1"/>
      </rPr>
      <t>IAM User within AWS Root Account. Instead of sharing your root user credentials with others, you can create individual IAM users within AWS root account that correspond to users in your organization</t>
    </r>
  </si>
  <si>
    <t>→ Create IAM User for each member
→ IAM user access keys are not shared.
→ Remove users who do not need access rights.
Perform periodic checks
(once a month).
→ The username of the IAM user is the email address.</t>
  </si>
  <si>
    <t>High</t>
  </si>
  <si>
    <t>AWS strongly discourage the use of shared user identities, where multiple
entities share the same credentials.</t>
  </si>
  <si>
    <r>
      <rPr>
        <rFont val="Arial"/>
        <b/>
        <color theme="1"/>
      </rPr>
      <t xml:space="preserve">■ IAM Group
</t>
    </r>
    <r>
      <rPr>
        <rFont val="Arial"/>
        <color theme="1"/>
      </rPr>
      <t>IAM groups are collections of IAM users in one AWS Root account. You can create IAM groups on a functional, organizational, or geographic basis, or by project</t>
    </r>
  </si>
  <si>
    <t>→ Create IAM Group with Policy matching, and add IAM User to IAM Group
For eample
1. Admin group
2. Infra group
3. FrontEnd Engnieer Group
4. BackEnd Engnieer Group
5. Native Engnieer Group
Groups according to their responsibilities</t>
  </si>
  <si>
    <t>You can provide each IAM group with permissions to access AWS resources by assigning one or more IAM policies. All policies assigned to an IAM group are inherited by the IAM users who are members of the group.</t>
  </si>
  <si>
    <r>
      <rPr>
        <rFont val="Arial"/>
        <color theme="1"/>
      </rPr>
      <t xml:space="preserve">■ </t>
    </r>
    <r>
      <rPr>
        <rFont val="Arial"/>
        <b/>
        <color theme="1"/>
      </rPr>
      <t xml:space="preserve">IP address restriction role
</t>
    </r>
    <r>
      <rPr>
        <rFont val="Arial"/>
        <color theme="1"/>
      </rPr>
      <t>Create IP address restriction policies and attach them to each group.</t>
    </r>
  </si>
  <si>
    <r>
      <rPr>
        <rFont val="Arial"/>
        <b/>
        <color theme="1"/>
      </rPr>
      <t xml:space="preserve">■ Access Key &amp; Secret Key
</t>
    </r>
    <r>
      <rPr>
        <rFont val="Arial"/>
        <color theme="1"/>
      </rPr>
      <t>Access keys are used to digitally sign API calls made to AWS services. Each access key credential is comprised of an access key ID and a secret key. The secret key portion must be secured by the AWS account holder or the IAM user to whom they are assigned</t>
    </r>
  </si>
  <si>
    <t>→ Should rotate their Access Keys on a regular basis (1 ~ 3 months)
→ Do not create Access Keys for your AWS Root account
→ Do not store Access Key on EC2 Instance
→ Use IAM Role when applications need access to AWS resources (view No.5)</t>
  </si>
  <si>
    <t>● The access key for your AWS account gives full access to all your resources for all AWS services, including your billing information
● In case of lost access key, hackers will use your access key to exploit the AWS resources</t>
  </si>
  <si>
    <r>
      <rPr>
        <rFont val="Arial"/>
        <color theme="1"/>
      </rPr>
      <t xml:space="preserve">■ </t>
    </r>
    <r>
      <rPr>
        <rFont val="Arial"/>
        <b/>
        <color theme="1"/>
      </rPr>
      <t xml:space="preserve"> As a rule, IAM user access keys are not used.</t>
    </r>
    <r>
      <rPr>
        <rFont val="Arial"/>
        <color theme="1"/>
      </rPr>
      <t xml:space="preserve">
All access within the AWS environment can be managed by IAM roles.</t>
    </r>
  </si>
  <si>
    <t xml:space="preserve">
Cases where IAM user access keys are required
1. access via AWS CLI / SDK during development
→ Separate accounts for production and development environments
2. Access to AWS resources from external servers / management services
→ Minimise the permissions of the access keys provided and rotate them regularly.</t>
  </si>
  <si>
    <r>
      <rPr>
        <rFont val="Arial"/>
        <color theme="1"/>
      </rPr>
      <t xml:space="preserve">■ </t>
    </r>
    <r>
      <rPr>
        <rFont val="Arial"/>
        <b/>
        <color theme="1"/>
      </rPr>
      <t>Multiple accounts</t>
    </r>
    <r>
      <rPr>
        <rFont val="Arial"/>
        <color theme="1"/>
      </rPr>
      <t xml:space="preserve">
Separate accounts for development, verification and production environments</t>
    </r>
  </si>
  <si>
    <t>Realisation example:.
Use AWS Control Tower to
Separate development, verification and production accounts</t>
  </si>
  <si>
    <t>AWS IAM Role</t>
  </si>
  <si>
    <r>
      <rPr>
        <rFont val="Arial"/>
        <color theme="1"/>
      </rPr>
      <t xml:space="preserve">Applications that run on an Amazon EC2 instance and that need access to AWS resources such as Amazon S3 buckets or an Amazon DynamoDB table must have security credentials in order to make programmatic requests to AWS.
→ Developers might distribute their credentials to each instance and applications can then use those credentials to access resources, </t>
    </r>
    <r>
      <rPr>
        <rFont val="Arial"/>
        <b/>
        <i/>
        <color theme="1"/>
      </rPr>
      <t>but distributing long-term credentials to each instance is challenging to manage and a potential security risk.</t>
    </r>
  </si>
  <si>
    <t>→ Use IAM Role when applications running on Amazon EC2 instances that need to access AWS resources
Basically uses IAM roles rather than IAM users
All access within the AWS environment can be managed by IAM roles
Example.
→If an application running on an Amazon EC2 instance needs access to an AWS resource, use an IAM role instead of an access key.
→If Lambda needs DB credentials, store DB credentials in the Parameter Store, create a policy that allows access to the Parameter Store, and grant Lambda an IAM role to which the policy is applied.</t>
  </si>
  <si>
    <t>Medium</t>
  </si>
  <si>
    <r>
      <rPr>
        <rFont val="Arial"/>
        <color theme="1"/>
      </rPr>
      <t xml:space="preserve">Assuming the IAM Role </t>
    </r>
    <r>
      <rPr>
        <rFont val="Arial"/>
        <b/>
        <color theme="1"/>
      </rPr>
      <t>returns temporary security credential</t>
    </r>
    <r>
      <rPr>
        <rFont val="Arial"/>
        <color theme="1"/>
      </rPr>
      <t xml:space="preserve"> and these have a </t>
    </r>
    <r>
      <rPr>
        <rFont val="Arial"/>
        <b/>
        <color theme="1"/>
      </rPr>
      <t>configurable expiration and are automatically rotated</t>
    </r>
    <r>
      <rPr>
        <rFont val="Arial"/>
        <color theme="1"/>
      </rPr>
      <t>.
→ It is means you don't always have to manage longterm credentials and IAM users for each entity that requires access to a resource</t>
    </r>
  </si>
  <si>
    <t>Password Policy</t>
  </si>
  <si>
    <t>A password policy is a set of rules that define the type of password an IAM user can set</t>
  </si>
  <si>
    <t>→ Enable Password Policy
→ Rotate passwords</t>
  </si>
  <si>
    <t>● Set a minimum password length.
● Require specific character types, including uppercase letters, lowercase letters, numbers, and non-alphanumeric characters. Be sure to remind your users that passwords are case sensitive.
● Allow all IAM users to change their own passwords.</t>
  </si>
  <si>
    <t>Enable Virtual MFA</t>
  </si>
  <si>
    <t>● A virtual MFA device uses a software application to generate a six-digit authentication code. The app can run on mobile hardware devices, including smartphones. 
● You can enable only one MFA device per AWS account root user or IAM user, and the device can only be used by the specified user
● Create policy to enforce MFA for all groups.</t>
  </si>
  <si>
    <t>→ Enable a Virtual MFA Device for an IAM User
→ Enable a Virtual MFA Device for Your AWS Account Root User
→ Create Group of user then apply policy force enable MFA</t>
  </si>
  <si>
    <r>
      <rPr>
        <rFont val="Arial"/>
        <color theme="1"/>
      </rPr>
      <t xml:space="preserve">Your password protects your account. You can also add a second layer of protection with </t>
    </r>
    <r>
      <rPr>
        <rFont val="Arial"/>
        <b/>
        <color theme="1"/>
      </rPr>
      <t>2-Step Verification by Virtual MFA</t>
    </r>
  </si>
  <si>
    <t>AWS Billing</t>
  </si>
  <si>
    <t>It's a good idea to create a billing alarm to notify you if you exceed the limits of the budget</t>
  </si>
  <si>
    <t>→ Creating a Billing Alarm
(You must be signed in using AWS root account)</t>
  </si>
  <si>
    <t>Low</t>
  </si>
  <si>
    <r>
      <rPr>
        <rFont val="Arial"/>
        <color theme="1"/>
      </rPr>
      <t xml:space="preserve">You can create </t>
    </r>
    <r>
      <rPr>
        <rFont val="Arial"/>
        <b/>
        <color theme="1"/>
      </rPr>
      <t>billing alerts</t>
    </r>
    <r>
      <rPr>
        <rFont val="Arial"/>
        <color theme="1"/>
      </rPr>
      <t xml:space="preserve"> that notify you when your usage of your services exceeds thresholds that you define. When your usage exceeds these amounts, </t>
    </r>
    <r>
      <rPr>
        <rFont val="Arial"/>
        <b/>
        <color theme="1"/>
      </rPr>
      <t>AWS sends you an email notification</t>
    </r>
    <r>
      <rPr>
        <rFont val="Arial"/>
        <color theme="1"/>
      </rPr>
      <t>.</t>
    </r>
  </si>
  <si>
    <t>AWS Budget</t>
  </si>
  <si>
    <t>With AWS Budgets, set custom budgets to track your costs and usage, and respond quickly to alerts received from email or SNS notifications if you exceed your threshold.</t>
  </si>
  <si>
    <t>→ Creating a Budget Alarm</t>
  </si>
  <si>
    <t>You can create budgets to track and take action on your costs and usage. You can also create budgets to track your aggregate Reserved Instance (RI) and Savings Plans utilization and coverage. By default, single accounts, the management account, and member accounts in an organization can create budgets</t>
  </si>
  <si>
    <t>Create a Budget Alarm to Monitor Your Estimated AWS Charges</t>
  </si>
  <si>
    <t>AWS EC2 Key Pair
(OS_Lever)</t>
  </si>
  <si>
    <r>
      <rPr>
        <rFont val="Arial"/>
        <b/>
        <color theme="1"/>
      </rPr>
      <t xml:space="preserve">■ Managing OS-level Access to AWS EC2 Instance
</t>
    </r>
    <r>
      <rPr>
        <rFont val="Arial"/>
        <color theme="1"/>
      </rPr>
      <t>To access that instance using secure remote system access protocols, such as Secure Shell (SSH), or Windows Remote Desktop Protocol (RDP)</t>
    </r>
  </si>
  <si>
    <t>→ Do not store Private Key on EC2 Instance</t>
  </si>
  <si>
    <r>
      <rPr>
        <rFont val="Arial"/>
        <b/>
        <color theme="1"/>
      </rPr>
      <t>Amazon EC2 stores the public key only, and you store the private key</t>
    </r>
    <r>
      <rPr>
        <rFont val="Arial"/>
        <color theme="1"/>
      </rPr>
      <t>. Anyone who possesses your private key can decrypt your login information, so it's important that you store your private keys in a secure place.</t>
    </r>
  </si>
  <si>
    <r>
      <rPr>
        <rFont val="Arial"/>
        <b/>
        <color theme="1"/>
      </rPr>
      <t xml:space="preserve">■ Key Pairs for Multiple Users (OS_Lever)
</t>
    </r>
    <r>
      <rPr>
        <rFont val="Arial"/>
        <color theme="1"/>
      </rPr>
      <t>If you have several users that require access to a single instance, you can add user accounts to your instance.</t>
    </r>
  </si>
  <si>
    <r>
      <rPr>
        <rFont val="Arial"/>
        <color rgb="FF0000FF"/>
      </rPr>
      <t xml:space="preserve">→ Create a key pair for each user, and add the public key information from each key pair to the </t>
    </r>
    <r>
      <rPr>
        <rFont val="Arial"/>
        <b/>
        <color rgb="FF0000FF"/>
      </rPr>
      <t>.ssh/authorized_keys</t>
    </r>
    <r>
      <rPr>
        <rFont val="Arial"/>
        <color rgb="FF0000FF"/>
      </rPr>
      <t xml:space="preserve"> file for each user on your instance
→ Not have to distribute the same private key file that's used for the root account to multiple users.</t>
    </r>
  </si>
  <si>
    <r>
      <rPr>
        <rFont val="Arial"/>
        <color theme="1"/>
      </rPr>
      <t xml:space="preserve">● Each Linux instance type launches with a </t>
    </r>
    <r>
      <rPr>
        <rFont val="Arial"/>
        <b/>
        <color theme="1"/>
      </rPr>
      <t xml:space="preserve">default Linux system user account </t>
    </r>
    <r>
      <rPr>
        <rFont val="Arial"/>
        <color theme="1"/>
      </rPr>
      <t xml:space="preserve">(Ex: Amazon Linux, the user name is ec2-user. For RHEL, the user name is ec2-user or root, ....)
● Using the default user account is adequate for many applications, but you may choose to </t>
    </r>
    <r>
      <rPr>
        <rFont val="Arial"/>
        <b/>
        <color theme="1"/>
      </rPr>
      <t>add user accounts so that individuals</t>
    </r>
    <r>
      <rPr>
        <rFont val="Arial"/>
        <color theme="1"/>
      </rPr>
      <t xml:space="preserve"> can have their own files and workspaces.</t>
    </r>
  </si>
  <si>
    <t>Storing and Managing Encryption Keys</t>
  </si>
  <si>
    <r>
      <rPr>
        <rFont val="Arial"/>
        <b/>
        <color theme="1"/>
      </rPr>
      <t xml:space="preserve">■ AWS Key Management Service (KMS)
</t>
    </r>
    <r>
      <rPr>
        <rFont val="Arial"/>
        <color theme="1"/>
      </rPr>
      <t>It is a managed service that makes it easy for you to create and control the encryption keys used to encrypt your data. KMS is integrated with several other AWS services to help you protect the data you store with these services.</t>
    </r>
  </si>
  <si>
    <t>→ Use AWS Key Management Service (KMS)</t>
  </si>
  <si>
    <t>Use AWS KMS to create and control the encryption keys used to encrypt your data</t>
  </si>
  <si>
    <t>■ KMS with Amazon S3</t>
  </si>
  <si>
    <r>
      <rPr>
        <rFont val="Arial"/>
        <color rgb="FF0000FF"/>
      </rPr>
      <t xml:space="preserve">→ S3-Server-Side Encryption: Using SSE-KMS
</t>
    </r>
    <r>
      <rPr>
        <rFont val="Arial"/>
        <b/>
        <color rgb="FF0000FF"/>
      </rPr>
      <t xml:space="preserve">● </t>
    </r>
    <r>
      <rPr>
        <rFont val="Arial"/>
        <color rgb="FF0000FF"/>
      </rPr>
      <t xml:space="preserve">PUT/POST/COPY operation
</t>
    </r>
    <r>
      <rPr>
        <rFont val="Arial"/>
        <b/>
        <color rgb="FF0000FF"/>
      </rPr>
      <t xml:space="preserve">● </t>
    </r>
    <r>
      <rPr>
        <rFont val="Arial"/>
        <color rgb="FF0000FF"/>
      </rPr>
      <t>Initiate Multipart Upload</t>
    </r>
  </si>
  <si>
    <t>Protect data at rest within Amazon S3 data centers by using AWS KMS.
Amazon S3 now applies server-side encryption with Amazon S3 managed keys (SSE-S3) as the base level of encryption for every bucket in Amazon S3</t>
  </si>
  <si>
    <t>■ KMS with Amazon EBS</t>
  </si>
  <si>
    <t>→ Uses AWS KMS to encrypt volumes and snapshots</t>
  </si>
  <si>
    <t>Data stored at rest on the volume, disk I/O, and snapshots created from the volume are all encrypted. The encryption occurs on the servers that host Amazon EC2 instances.</t>
  </si>
  <si>
    <t>Creating an Amazon EBS Volume Encryption</t>
  </si>
  <si>
    <t>■ KMS with Amazon RDS</t>
  </si>
  <si>
    <t>→ Uses AWS KMS to encrypt the data stored on your Amazon RDS</t>
  </si>
  <si>
    <t>Data stored at rest on the volume, database snapshots, automated backups, and read replicas are all encrypted under the KMS CMK that you specified when you created the DB instance.</t>
  </si>
  <si>
    <t>■ KMS with ElastiCache Redis</t>
  </si>
  <si>
    <t>→ Uses AWS KMS to encrypt the data stored on your Amazon ElastiCache</t>
  </si>
  <si>
    <t>Enabling Encryption for a ElastiCache Redis</t>
  </si>
  <si>
    <t>■ KMS with Amazon OpenSearch</t>
  </si>
  <si>
    <t>→ Uses AWS KMS to encrypt the data stored on your Amazon OpenSearch</t>
  </si>
  <si>
    <t>OpenSearch Service domains offer encryption of data at rest, a security feature that helps prevent unauthorized access to your data</t>
  </si>
  <si>
    <t>Enabling Encryption for a OpenSearch Domain</t>
  </si>
  <si>
    <t>■ Preventing credential leakage
Implement tools for credential prevention</t>
  </si>
  <si>
    <t>→ https://github.com/awslabs/git-secrets
Developers use credential leakage prevention tools (deployed on personal PCs).
Prevent accidental commits to local Git repositories
→ Check with Macie to see if it has been placed in S3.
→ GuardDuty functionality to detect and alert notification of unauthorised
 activity at instance level.</t>
  </si>
  <si>
    <t>Option</t>
  </si>
  <si>
    <t>Protecting Data at Rest</t>
  </si>
  <si>
    <r>
      <rPr>
        <rFont val="Arial"/>
        <b/>
        <color theme="1"/>
      </rPr>
      <t xml:space="preserve">■ On Amazon S3
</t>
    </r>
    <r>
      <rPr>
        <rFont val="Arial"/>
        <color theme="1"/>
      </rPr>
      <t>Amazon S3 provides a number of security features for protection of data at rest</t>
    </r>
  </si>
  <si>
    <t>→ Uses bucket-level or object-level permissions</t>
  </si>
  <si>
    <t>Protect resources from unauthorized access and to prevent information disclosure, data integrity compromise, or deletion.</t>
  </si>
  <si>
    <t>→ Enable Versioning</t>
  </si>
  <si>
    <t>Amazon S3 supports object versions. Enable versioning to store a new version for every modified or deleted object from which you can restore compromised objects if necessary.</t>
  </si>
  <si>
    <t xml:space="preserve">→ Enable Replication </t>
  </si>
  <si>
    <t>Amazon S3 replicates each object across all Availability Zones within the respective region. Replication can provide data and service availability in the
case of system failure.
● Same AWS Account
● Different AWS Accounts</t>
  </si>
  <si>
    <t>→ Use Encryption–client side</t>
  </si>
  <si>
    <t xml:space="preserve"> Your applications encrypt data before submitting it to Amazon S3, and decrypt data after receiving it from Amazon S3. Data is stored in an encrypted form, with keys and algorithms only known to you
● Option 1: Using an AWS KMS–Managed Customer Master Key (CMK)
● Option 2: Using a Client-Side Master Key</t>
  </si>
  <si>
    <t>Protect Data in Transit</t>
  </si>
  <si>
    <r>
      <rPr>
        <rFont val="Arial"/>
        <b/>
        <color theme="1"/>
      </rPr>
      <t xml:space="preserve">■ HTTP/HTTPS traffic
</t>
    </r>
    <r>
      <rPr>
        <rFont val="Arial"/>
        <color theme="1"/>
      </rPr>
      <t>By default, HTTP traffic is unprotected. SSL/TLS protection for HTTP traffic, also known as HTTPS</t>
    </r>
  </si>
  <si>
    <t>→ Use HTTPS (HTTP over SSL/TLS) with
server certificate authentication.</t>
  </si>
  <si>
    <t>Offload HTTPS processing on Elastic Load Balancing to minimize impact on web servers while still protecting data in transit
● Listens on both the HTTP (80) and HTTPS (443) ports</t>
  </si>
  <si>
    <t>Create a Application Load Balancer with an HTTPS Listener</t>
  </si>
  <si>
    <r>
      <rPr>
        <rFont val="Arial"/>
        <b/>
        <color theme="1"/>
      </rPr>
      <t xml:space="preserve">■ Remote Desktop Protocol (RDP) traffic
</t>
    </r>
    <r>
      <rPr>
        <rFont val="Arial"/>
        <color theme="1"/>
      </rPr>
      <t>Users who access Windows Terminal Services in the public cloud usually use the Microsoft Remote Desktop Protocol. By default, RDP connections establish an underlying SSL/TLS connection.</t>
    </r>
  </si>
  <si>
    <t>→ Use Your Own X.509 Certificate</t>
  </si>
  <si>
    <t>Negligible</t>
  </si>
  <si>
    <t>For optimal protection, the Windows server being accessed should be issued a trusted X.509 certificate to protect from identity spoofing or manin-the-middle attacks. By default, Windows RDP servers use self-signed certificates, which are not trusted, and should be avoided.</t>
  </si>
  <si>
    <t>-</t>
  </si>
  <si>
    <r>
      <rPr>
        <rFont val="Arial"/>
        <b/>
        <color theme="1"/>
      </rPr>
      <t xml:space="preserve">■ Secure Shell (SSH) traffic
</t>
    </r>
    <r>
      <rPr>
        <rFont val="Arial"/>
        <color theme="1"/>
      </rPr>
      <t>SSH is the preferred approach for establishing administrative connections to Linux servers. SSH is a protocol that, like SSL, provides a secure communications channel between the client and the server.</t>
    </r>
  </si>
  <si>
    <t>→ Use SSH version 2 using non-privileged user accounts.</t>
  </si>
  <si>
    <t>SSH also supports tunneling, which you should use for running applications such as X-Windows on top of SSH, and protecting the application session in transit.</t>
  </si>
  <si>
    <r>
      <rPr>
        <rFont val="Arial"/>
        <b/>
        <color theme="1"/>
      </rPr>
      <t xml:space="preserve">■ Database server traffic
</t>
    </r>
    <r>
      <rPr>
        <rFont val="Arial"/>
        <color theme="1"/>
      </rPr>
      <t>The most common protocol for encrypting data in transit is SSL/TLS, which stands for Secure Sockets Layer/Transport Layer Security. SSL/TLS creates a secure connection between a client and a server, and encrypts the data that is exchanged between them.</t>
    </r>
  </si>
  <si>
    <t>→ Use SSL/TLS  for data in transit</t>
  </si>
  <si>
    <r>
      <rPr>
        <rFont val="Arial"/>
        <color theme="1"/>
      </rPr>
      <t xml:space="preserve">Most modern databases support SSL/TLS wrappers for native database protocols.
</t>
    </r>
    <r>
      <rPr>
        <rFont val="Arial"/>
        <b/>
        <color theme="1"/>
      </rPr>
      <t xml:space="preserve">● </t>
    </r>
    <r>
      <rPr>
        <rFont val="Arial"/>
        <color theme="1"/>
      </rPr>
      <t xml:space="preserve">For database servers running on Amazon EC2, we recommend this approach to protecting data in transit.
</t>
    </r>
    <r>
      <rPr>
        <rFont val="Arial"/>
        <b/>
        <color theme="1"/>
      </rPr>
      <t xml:space="preserve">● </t>
    </r>
    <r>
      <rPr>
        <rFont val="Arial"/>
        <color theme="1"/>
      </rPr>
      <t>Amazon RDS provides support for SSL/TLS in some cases. (MySQL, MariaDB, Amazon Aurora, SQL Server, Oracle, or PostgreSQL)</t>
    </r>
  </si>
  <si>
    <t>OS and Application</t>
  </si>
  <si>
    <t>Secure Your Operating Systems and Applications</t>
  </si>
  <si>
    <t>→ Disable root API access keys and secret key</t>
  </si>
  <si>
    <r>
      <rPr>
        <rFont val="Arial"/>
        <color theme="1"/>
      </rPr>
      <t xml:space="preserve">Do not create/uses Access key of AWS Root Account.
</t>
    </r>
    <r>
      <rPr>
        <rFont val="Arial"/>
        <b/>
        <color theme="1"/>
      </rPr>
      <t>(View No.1 &amp; No.4)</t>
    </r>
  </si>
  <si>
    <t>→ Restrict access to instances from limited IP ranges using Security Groups</t>
  </si>
  <si>
    <r>
      <rPr>
        <rFont val="Arial"/>
        <color theme="1"/>
      </rPr>
      <t xml:space="preserve">A security group acts as a </t>
    </r>
    <r>
      <rPr>
        <rFont val="Arial"/>
        <b/>
        <color theme="1"/>
      </rPr>
      <t xml:space="preserve">virtual firewall </t>
    </r>
    <r>
      <rPr>
        <rFont val="Arial"/>
        <color theme="1"/>
      </rPr>
      <t xml:space="preserve">for your instance to control inbound and outbound traffic. The following are examples of the kinds of rules:
● Web server
● Database server
● Access from another instance in the same group
● Access from local computer
● Elastic Load Balancing
</t>
    </r>
    <r>
      <rPr>
        <rFont val="Arial"/>
        <b/>
        <color theme="1"/>
      </rPr>
      <t>(View No.29)</t>
    </r>
  </si>
  <si>
    <t>→ Using host-based firewalls to control access to each instance.</t>
  </si>
  <si>
    <t>Enable and add rule firewall of Windows Server or Linux.</t>
  </si>
  <si>
    <t>→ Password protect the .pem file on user machines</t>
  </si>
  <si>
    <r>
      <rPr>
        <rFont val="Arial"/>
        <color theme="1"/>
      </rPr>
      <t xml:space="preserve">Protect .pem file safely, such as:
</t>
    </r>
    <r>
      <rPr>
        <rFont val="Arial"/>
        <b/>
        <color theme="1"/>
      </rPr>
      <t>●</t>
    </r>
    <r>
      <rPr>
        <rFont val="Arial"/>
        <color theme="1"/>
      </rPr>
      <t xml:space="preserve"> Zip file with passwork option.
● Do not store .pem file on EC2 Instance</t>
    </r>
  </si>
  <si>
    <t>→ Use bastion hosts to enforce control and visibility</t>
  </si>
  <si>
    <r>
      <rPr>
        <rFont val="Arial"/>
        <color theme="1"/>
      </rPr>
      <t xml:space="preserve">Bastion hosts are instances that sit </t>
    </r>
    <r>
      <rPr>
        <rFont val="Arial"/>
        <b/>
        <color theme="1"/>
      </rPr>
      <t>within your public subnet</t>
    </r>
    <r>
      <rPr>
        <rFont val="Arial"/>
        <color theme="1"/>
      </rPr>
      <t xml:space="preserve"> and are typically accessed using SSH or RDP, allowing you to use SSH or RDP to login to other instances </t>
    </r>
    <r>
      <rPr>
        <rFont val="Arial"/>
        <b/>
        <color theme="1"/>
      </rPr>
      <t xml:space="preserve">within private subnets. </t>
    </r>
  </si>
  <si>
    <t>Secure Your Infrastructure</t>
  </si>
  <si>
    <r>
      <rPr>
        <rFont val="Arial"/>
        <b/>
        <color theme="1"/>
      </rPr>
      <t xml:space="preserve">■ Amazon Virtual Private Cloud (VPC)
</t>
    </r>
    <r>
      <rPr>
        <rFont val="Arial"/>
        <color theme="1"/>
      </rPr>
      <t>With Amazon Virtual Private Cloud (VPC) you can create private clouds within the AWS public cloud. You need to establish IPSec tunnels are established between AWS and your infrastructure endpoints.</t>
    </r>
  </si>
  <si>
    <t>→ IPSec over the Internet</t>
  </si>
  <si>
    <t>Establish a private IPSec connection using IKEv1 and IPSec using standard AWS VPN facilities (Amazon VPC VPN gateways, customer gateways, and VPN connections).</t>
  </si>
  <si>
    <r>
      <rPr>
        <rFont val="Arial"/>
        <b/>
        <color theme="1"/>
      </rPr>
      <t xml:space="preserve">■ AWS Network - Security groups
</t>
    </r>
    <r>
      <rPr>
        <rFont val="Arial"/>
        <color theme="1"/>
      </rPr>
      <t>Using security groups to manage access to instances that have similar functions and security requirements.</t>
    </r>
  </si>
  <si>
    <t>→ Always use security groups &amp; Only allow rule on demand</t>
  </si>
  <si>
    <t>The following are examples of the kinds of rules:
● Web server
● Database server
● Access from another instance in the same group
● Access from local computer
● Elastic Load Balancing</t>
  </si>
  <si>
    <r>
      <rPr>
        <rFont val="Arial"/>
        <b/>
        <color theme="1"/>
      </rPr>
      <t xml:space="preserve">■ AWS Network Access Control Lists
</t>
    </r>
    <r>
      <rPr>
        <rFont val="Arial"/>
        <color theme="1"/>
      </rPr>
      <t>Is an optional layer of security for your VPC that acts as a firewall for controlling traffic in and out of one or more subnets.</t>
    </r>
  </si>
  <si>
    <t>→ Augment security groups with Network ACLs</t>
  </si>
  <si>
    <r>
      <rPr>
        <rFont val="Arial"/>
        <color theme="1"/>
      </rPr>
      <t xml:space="preserve">NACLs are agnostic of </t>
    </r>
    <r>
      <rPr>
        <rFont val="Arial"/>
        <b/>
        <color theme="1"/>
      </rPr>
      <t>TCP and UDP sessions</t>
    </r>
    <r>
      <rPr>
        <rFont val="Arial"/>
        <color theme="1"/>
      </rPr>
      <t xml:space="preserve">, but they allow granular control over </t>
    </r>
    <r>
      <rPr>
        <rFont val="Arial"/>
        <b/>
        <color theme="1"/>
      </rPr>
      <t>IP protocols</t>
    </r>
    <r>
      <rPr>
        <rFont val="Arial"/>
        <color theme="1"/>
      </rPr>
      <t xml:space="preserve">, as well as </t>
    </r>
    <r>
      <rPr>
        <rFont val="Arial"/>
        <b/>
        <color theme="1"/>
      </rPr>
      <t>control on a per-source/destination IP address</t>
    </r>
    <r>
      <rPr>
        <rFont val="Arial"/>
        <color theme="1"/>
      </rPr>
      <t xml:space="preserve"> and </t>
    </r>
    <r>
      <rPr>
        <rFont val="Arial"/>
        <b/>
        <color theme="1"/>
      </rPr>
      <t>port for TCP and UDP</t>
    </r>
    <r>
      <rPr>
        <rFont val="Arial"/>
        <color theme="1"/>
      </rPr>
      <t>. NACLs work in conjunction with security groups, and can allow or deny traffic even before it reaches the securitygroup.</t>
    </r>
  </si>
  <si>
    <t>Recommended Network ACL Rules for Your VPC</t>
  </si>
  <si>
    <t>■ AWS Trusted Advisor</t>
  </si>
  <si>
    <t>-&gt; Upgrade your Support package to Business, Enterprise On-Ramp, or Enterprise Support to unlock full features.</t>
  </si>
  <si>
    <t>Trusted Advisor inspects your AWS environment, and then makes recommendations when opportunities exist to save money, improve system availability and performance, or help close security gaps</t>
  </si>
  <si>
    <t>Trusted Advisor Reference</t>
  </si>
  <si>
    <t>■ AWS Security Hub</t>
  </si>
  <si>
    <t xml:space="preserve">-&gt; Enable Security Hub in all supported AWS Regions. </t>
  </si>
  <si>
    <t>AWS Security Hub provides a consolidated view of your security status in AWS. Automate security checks, manage security findings, and identify the highest priority security issues across your AWS environment.</t>
  </si>
  <si>
    <t>Security Hub Reference</t>
  </si>
  <si>
    <t>■ AWS Config</t>
  </si>
  <si>
    <t>-&gt; Enable rules related to utilized services such as EC2, ALB, etc.</t>
  </si>
  <si>
    <t>AWS Config provides a detailed view of the configuration of AWS resources in your AWS account. This includes how the resources are related to one another and how they were configured in the past so that you can see how the configurations and relationships change over time.</t>
  </si>
  <si>
    <t>AWS Config Reference</t>
  </si>
  <si>
    <r>
      <rPr>
        <rFont val="Arial"/>
        <color rgb="FF434343"/>
      </rPr>
      <t>■</t>
    </r>
    <r>
      <rPr>
        <rFont val="Arial"/>
        <b/>
        <color rgb="FF434343"/>
      </rPr>
      <t xml:space="preserve"> Amazon GuardDuty</t>
    </r>
  </si>
  <si>
    <t xml:space="preserve">-&gt; Enable GuardDuty in all supported AWS Regions. </t>
  </si>
  <si>
    <t>Amazon GuardDuty is a threat detection service that continuously monitors your AWS accounts and workloads for malicious activity and delivers detailed security findings for visibility and remediation.</t>
  </si>
  <si>
    <t>GuardDuty Reference</t>
  </si>
  <si>
    <r>
      <rPr>
        <rFont val="Arial"/>
        <b/>
        <color rgb="FF434343"/>
      </rPr>
      <t xml:space="preserve">■ AWS WAF
</t>
    </r>
    <r>
      <rPr>
        <rFont val="Arial"/>
        <b val="0"/>
        <color rgb="FF434343"/>
      </rPr>
      <t>Protect your service when expose to internet</t>
    </r>
  </si>
  <si>
    <t>Implementing AWS WAF.</t>
  </si>
  <si>
    <t>■ AWS Inspector</t>
  </si>
  <si>
    <t>-&gt; Enable AWS Inspector.</t>
  </si>
  <si>
    <t>Enable CloudTrail</t>
  </si>
  <si>
    <t>AWS CloudTrail is an AWS service that helps you enable governance, compliance, and operational and risk auditing of your AWS account.</t>
  </si>
  <si>
    <t>→ Create CloudTrail &amp;  Apply to all Regions</t>
  </si>
  <si>
    <r>
      <rPr>
        <rFont val="Arial"/>
        <color theme="1"/>
      </rPr>
      <t xml:space="preserve">● </t>
    </r>
    <r>
      <rPr>
        <rFont val="Arial"/>
        <b/>
        <color theme="1"/>
      </rPr>
      <t>Events include actions</t>
    </r>
    <r>
      <rPr>
        <rFont val="Arial"/>
        <color theme="1"/>
      </rPr>
      <t xml:space="preserve"> taken in the AWS Management Console, AWS Command Line Interface, and AWS SDKs and APIs.
● You can identify</t>
    </r>
    <r>
      <rPr>
        <rFont val="Arial"/>
        <b/>
        <color theme="1"/>
      </rPr>
      <t xml:space="preserve"> who or what took</t>
    </r>
    <r>
      <rPr>
        <rFont val="Arial"/>
        <color theme="1"/>
      </rPr>
      <t xml:space="preserve"> which action, what resources were acted upon, when the event occurred, and other details to help you</t>
    </r>
    <r>
      <rPr>
        <rFont val="Arial"/>
        <b/>
        <color theme="1"/>
      </rPr>
      <t xml:space="preserve"> analyze and respond to activity</t>
    </r>
    <r>
      <rPr>
        <rFont val="Arial"/>
        <color theme="1"/>
      </rPr>
      <t xml:space="preserve"> in your AWS account.</t>
    </r>
  </si>
  <si>
    <t>Logging</t>
  </si>
  <si>
    <t xml:space="preserve">■ Enable logging, as checking the logs allows you to see all current and historical information on communications, servers, services, users, etc.
</t>
  </si>
  <si>
    <t>CloudTrail logs</t>
  </si>
  <si>
    <t>Route53 logs</t>
  </si>
  <si>
    <t>AWS WAF logs</t>
  </si>
  <si>
    <t>CloudFront logs</t>
  </si>
  <si>
    <t>S3 access logs</t>
  </si>
  <si>
    <t>AWS API logs</t>
  </si>
  <si>
    <t>ELB logs</t>
  </si>
  <si>
    <t>Logs in VPC</t>
  </si>
  <si>
    <t>Logs in OS / Middle Ware/ App</t>
  </si>
  <si>
    <t>Secrets information management</t>
  </si>
  <si>
    <t>Do not ""hold"" confidential information in files, but ""use"" information stored in secure areas.
1. 
Do not store confidential information on personal PCs or files, but use a secret information management service.
Secret information is used from the secret management service.
2. 
Secret information is not stored in files, but only in the name of the administrator of the secret name.</t>
  </si>
  <si>
    <t xml:space="preserve">Use Parameter Store; if not possible with Parameter Store, use Secrets Manager
  a: Cases where Parameter Store is used: - When you want to manage secret information and other parameters together. 
    When you want to manage secret information and other parameters together.
    When you want to manage parameters in a hierarchical structure.
  b: Using the Secrets Manager: - When you want to use the secret rotation function.
    When you want to use the secret rotation function.
    When you want to control access using </t>
  </si>
  <si>
    <t>■ How to send a Secret
In the Sun* environment
1. decide who is in charge of receiving the Secret from the customer
2. The person in charge creates a management file of who the secret was shared with.
3. the person in charge sends the Secret to the target person by DM
4. the Secret information itself is not left in the file, but is used in the Cloud's secure information management system
In the customer's environment
Have the Secret set in the Cloud's secure information management system on the customer's side.
(Production environment)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</si>
</sst>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yyyy&quot;-&quot;mm&quot;-&quot;dd"/>
    <numFmt numFmtId="166" formatCode="yyyy-mm-dd"/>
  </numFmts>
  <fonts count="55">
    <font>
      <sz val="10.0"/>
      <color rgb="FF000000"/>
      <name val="Arial"/>
      <scheme val="minor"/>
    </font>
    <font>
      <b/>
      <sz val="24.0"/>
      <color theme="1"/>
      <name val="Times New Roman"/>
    </font>
    <font/>
    <font>
      <b/>
      <sz val="18.0"/>
      <color theme="1"/>
      <name val="Times New Roman"/>
    </font>
    <font>
      <sz val="12.0"/>
      <color theme="1"/>
      <name val="Times New Roman"/>
    </font>
    <font>
      <sz val="12.0"/>
      <color rgb="FF000000"/>
      <name val="Times New Roman"/>
    </font>
    <font>
      <b/>
      <sz val="10.0"/>
      <color theme="1"/>
      <name val="Times New Roman"/>
    </font>
    <font>
      <b/>
      <sz val="14.0"/>
      <color theme="1"/>
      <name val="Times New Roman"/>
    </font>
    <font>
      <b/>
      <sz val="12.0"/>
      <color theme="1"/>
      <name val="Times New Roman"/>
    </font>
    <font>
      <sz val="12.0"/>
      <color theme="1"/>
      <name val="&quot;Times New Roman&quot;"/>
    </font>
    <font>
      <b/>
      <sz val="12.0"/>
      <color rgb="FF000000"/>
      <name val="Times New Roman"/>
    </font>
    <font>
      <b/>
      <sz val="12.0"/>
      <color rgb="FFFF0000"/>
      <name val="Times New Roman"/>
    </font>
    <font>
      <sz val="12.0"/>
      <color rgb="FFFF0000"/>
      <name val="Times New Roman"/>
    </font>
    <font>
      <b/>
      <sz val="24.0"/>
      <color theme="1"/>
      <name val="&quot;Times New Roman&quot;"/>
    </font>
    <font>
      <b/>
      <sz val="18.0"/>
      <color theme="1"/>
      <name val="&quot;Times New Roman&quot;"/>
    </font>
    <font>
      <color theme="1"/>
      <name val="Arial"/>
      <scheme val="minor"/>
    </font>
    <font>
      <sz val="12.0"/>
      <color rgb="FF000000"/>
      <name val="&quot;Times New Roman&quot;"/>
    </font>
    <font>
      <b/>
      <color theme="1"/>
      <name val="&quot;Times New Roman&quot;"/>
    </font>
    <font>
      <b/>
      <sz val="18.0"/>
      <color theme="1"/>
      <name val="Arial"/>
      <scheme val="minor"/>
    </font>
    <font>
      <i/>
      <color rgb="FFFF0000"/>
      <name val="Arial"/>
      <scheme val="minor"/>
    </font>
    <font>
      <b/>
      <sz val="18.0"/>
      <color rgb="FF666666"/>
      <name val="Arial"/>
      <scheme val="minor"/>
    </font>
    <font>
      <b/>
      <sz val="14.0"/>
      <color theme="1"/>
      <name val="&quot;Times New Roman&quot;"/>
    </font>
    <font>
      <b/>
      <sz val="14.0"/>
      <color theme="1"/>
      <name val="Arial"/>
    </font>
    <font>
      <color rgb="FF000000"/>
      <name val="Arial"/>
    </font>
    <font>
      <b/>
      <color rgb="FF000000"/>
      <name val="Arial"/>
    </font>
    <font>
      <color theme="1"/>
      <name val="Arial"/>
    </font>
    <font>
      <b/>
      <color theme="1"/>
      <name val="Arial"/>
      <scheme val="minor"/>
    </font>
    <font>
      <u/>
      <color rgb="FF1155CC"/>
      <name val="Arial"/>
    </font>
    <font>
      <u/>
      <color rgb="FF1155CC"/>
      <name val="Arial"/>
    </font>
    <font>
      <u/>
      <color rgb="FF1155CC"/>
      <name val="Arial"/>
    </font>
    <font>
      <u/>
      <color rgb="FF0000FF"/>
      <name val="Arial"/>
    </font>
    <font>
      <u/>
      <color rgb="FF0000FF"/>
      <name val="Arial"/>
    </font>
    <font>
      <sz val="11.0"/>
      <color rgb="FF000000"/>
      <name val="Inconsolata"/>
    </font>
    <font>
      <b/>
      <color rgb="FFFF0000"/>
      <name val="Arial"/>
    </font>
    <font>
      <b/>
      <color theme="1"/>
      <name val="Arial"/>
    </font>
    <font>
      <b/>
      <sz val="18.0"/>
      <color rgb="FF000000"/>
      <name val="Arial"/>
      <scheme val="minor"/>
    </font>
    <font>
      <b/>
      <sz val="10.0"/>
      <color rgb="FF000000"/>
      <name val="Arial"/>
      <scheme val="minor"/>
    </font>
    <font>
      <u/>
      <color rgb="FF1155CC"/>
      <name val="Arial"/>
    </font>
    <font>
      <u/>
      <color rgb="FF0000FF"/>
      <name val="Arial"/>
    </font>
    <font>
      <i/>
      <color rgb="FF000000"/>
      <name val="Arial"/>
    </font>
    <font>
      <color rgb="FF1155CC"/>
      <name val="Arial"/>
    </font>
    <font>
      <b/>
      <sz val="12.0"/>
      <color rgb="FF000000"/>
      <name val="Arial"/>
    </font>
    <font>
      <b/>
      <sz val="10.0"/>
      <color rgb="FF000000"/>
      <name val="Arial"/>
    </font>
    <font>
      <sz val="10.0"/>
      <color theme="1"/>
      <name val="Arial"/>
    </font>
    <font>
      <sz val="10.0"/>
      <color rgb="FF000000"/>
      <name val="Arial"/>
    </font>
    <font>
      <sz val="10.0"/>
      <color rgb="FF1155CC"/>
      <name val="Arial"/>
    </font>
    <font>
      <b/>
      <color theme="1"/>
      <name val="Times New Roman"/>
    </font>
    <font>
      <b/>
      <sz val="18.0"/>
      <color theme="1"/>
      <name val="Arial"/>
    </font>
    <font>
      <i/>
      <color rgb="FFFF0000"/>
      <name val="Arial"/>
    </font>
    <font>
      <b/>
      <sz val="18.0"/>
      <color rgb="FF666666"/>
      <name val="Arial"/>
    </font>
    <font>
      <color rgb="FF0000FF"/>
      <name val="Arial"/>
    </font>
    <font>
      <u/>
      <color rgb="FF0000FF"/>
      <name val="Arial"/>
    </font>
    <font>
      <u/>
      <color rgb="FF0000FF"/>
      <name val="Arial"/>
    </font>
    <font>
      <b/>
      <color rgb="FF434343"/>
      <name val="Arial"/>
    </font>
    <font>
      <color rgb="FF434343"/>
      <name val="Arial"/>
    </font>
  </fonts>
  <fills count="5">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F4CCCC"/>
        <bgColor rgb="FFF4CCCC"/>
      </patternFill>
    </fill>
  </fills>
  <borders count="2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hair">
        <color rgb="FF000000"/>
      </left>
    </border>
    <border>
      <right style="hair">
        <color rgb="FF000000"/>
      </right>
    </border>
    <border>
      <left style="thin">
        <color rgb="FF000000"/>
      </left>
      <right style="thin">
        <color rgb="FF000000"/>
      </right>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3" fillId="0" fontId="2" numFmtId="0" xfId="0" applyBorder="1" applyFont="1"/>
    <xf borderId="4" fillId="0" fontId="2" numFmtId="0" xfId="0" applyBorder="1" applyFont="1"/>
    <xf borderId="4" fillId="0" fontId="5" numFmtId="0" xfId="0" applyAlignment="1" applyBorder="1" applyFont="1">
      <alignment readingOrder="0" vertical="center"/>
    </xf>
    <xf borderId="5" fillId="0" fontId="2" numFmtId="0" xfId="0" applyBorder="1" applyFont="1"/>
    <xf borderId="6" fillId="0" fontId="5" numFmtId="0" xfId="0" applyAlignment="1" applyBorder="1" applyFont="1">
      <alignment readingOrder="0" shrinkToFit="0" vertical="center" wrapText="0"/>
    </xf>
    <xf borderId="7" fillId="0" fontId="2" numFmtId="0" xfId="0" applyBorder="1" applyFont="1"/>
    <xf borderId="8" fillId="0" fontId="6" numFmtId="0" xfId="0" applyAlignment="1" applyBorder="1" applyFont="1">
      <alignment readingOrder="0" vertical="center"/>
    </xf>
    <xf borderId="9" fillId="0" fontId="2" numFmtId="0" xfId="0" applyBorder="1" applyFont="1"/>
    <xf borderId="10" fillId="0" fontId="2" numFmtId="0" xfId="0" applyBorder="1" applyFont="1"/>
    <xf borderId="6" fillId="0" fontId="6" numFmtId="0" xfId="0" applyAlignment="1" applyBorder="1" applyFont="1">
      <alignment horizontal="right" readingOrder="0" shrinkToFit="0" vertical="center" wrapText="1"/>
    </xf>
    <xf borderId="11" fillId="0" fontId="7" numFmtId="0" xfId="0" applyAlignment="1" applyBorder="1" applyFont="1">
      <alignment horizontal="center" readingOrder="0" shrinkToFit="0" vertical="center" wrapText="1"/>
    </xf>
    <xf borderId="12" fillId="0" fontId="2" numFmtId="0" xfId="0" applyBorder="1" applyFont="1"/>
    <xf borderId="11" fillId="0" fontId="8" numFmtId="0" xfId="0" applyAlignment="1" applyBorder="1" applyFont="1">
      <alignment horizontal="center" readingOrder="0" shrinkToFit="0" vertical="center" wrapText="1"/>
    </xf>
    <xf borderId="13" fillId="2" fontId="8" numFmtId="0" xfId="0" applyAlignment="1" applyBorder="1" applyFill="1" applyFont="1">
      <alignment horizontal="center" readingOrder="0" shrinkToFit="0" vertical="center" wrapText="1"/>
    </xf>
    <xf borderId="8" fillId="2" fontId="8" numFmtId="0" xfId="0" applyAlignment="1" applyBorder="1" applyFill="1" applyFont="1">
      <alignment horizontal="center" readingOrder="0" shrinkToFit="0" vertical="center" wrapText="1"/>
    </xf>
    <xf borderId="13" fillId="0" fontId="4" numFmtId="0" xfId="0" applyAlignment="1" applyBorder="1" applyFont="1">
      <alignment horizontal="center" readingOrder="0" shrinkToFit="0" vertical="center" wrapText="1"/>
    </xf>
    <xf borderId="8" fillId="0" fontId="4" numFmtId="0" xfId="0" applyAlignment="1" applyBorder="1" applyFont="1">
      <alignment horizontal="left" readingOrder="0" shrinkToFit="0" vertical="center" wrapText="1"/>
    </xf>
    <xf borderId="8" fillId="0" fontId="4" numFmtId="164" xfId="0" applyAlignment="1" applyBorder="1" applyFont="1" applyNumberFormat="1">
      <alignment horizontal="left" readingOrder="0" shrinkToFit="0" vertical="center" wrapText="1"/>
    </xf>
    <xf borderId="13" fillId="0" fontId="9" numFmtId="0" xfId="0" applyAlignment="1" applyBorder="1" applyFont="1">
      <alignment horizontal="center" readingOrder="0" shrinkToFit="0" wrapText="1"/>
    </xf>
    <xf borderId="8" fillId="0" fontId="9" numFmtId="0" xfId="0" applyAlignment="1" applyBorder="1" applyFont="1">
      <alignment shrinkToFit="0" wrapText="1"/>
    </xf>
    <xf borderId="1" fillId="0" fontId="4" numFmtId="0" xfId="0" applyAlignment="1" applyBorder="1" applyFont="1">
      <alignment horizontal="left" readingOrder="0" shrinkToFit="0" vertical="center" wrapText="1"/>
    </xf>
    <xf quotePrefix="1" borderId="13" fillId="0" fontId="9" numFmtId="0" xfId="0" applyAlignment="1" applyBorder="1" applyFont="1">
      <alignment horizontal="center" readingOrder="0" shrinkToFit="0" wrapText="1"/>
    </xf>
    <xf borderId="2" fillId="0" fontId="4" numFmtId="0" xfId="0" applyAlignment="1" applyBorder="1" applyFont="1">
      <alignment horizontal="left" readingOrder="0" shrinkToFit="0" vertical="center" wrapText="1"/>
    </xf>
    <xf borderId="13" fillId="0" fontId="10" numFmtId="0" xfId="0" applyAlignment="1" applyBorder="1" applyFont="1">
      <alignment horizontal="center" readingOrder="0" shrinkToFit="0" vertical="center" wrapText="1"/>
    </xf>
    <xf borderId="9" fillId="0" fontId="5" numFmtId="0" xfId="0" applyAlignment="1" applyBorder="1" applyFont="1">
      <alignment horizontal="left" readingOrder="0" shrinkToFit="0" vertical="center" wrapText="1"/>
    </xf>
    <xf borderId="8" fillId="0" fontId="5" numFmtId="0" xfId="0" applyAlignment="1" applyBorder="1" applyFont="1">
      <alignment horizontal="left" readingOrder="0" shrinkToFit="0" vertical="center" wrapText="1"/>
    </xf>
    <xf borderId="13" fillId="0" fontId="11" numFmtId="0" xfId="0" applyAlignment="1" applyBorder="1" applyFont="1">
      <alignment horizontal="center" readingOrder="0" shrinkToFit="0" vertical="center" wrapText="1"/>
    </xf>
    <xf borderId="8" fillId="0" fontId="12" numFmtId="0" xfId="0" applyAlignment="1" applyBorder="1" applyFont="1">
      <alignment horizontal="left" readingOrder="0" shrinkToFit="0" vertical="center" wrapText="1"/>
    </xf>
    <xf borderId="8" fillId="0" fontId="11" numFmtId="49" xfId="0" applyAlignment="1" applyBorder="1" applyFont="1" applyNumberFormat="1">
      <alignment horizontal="left" readingOrder="0" shrinkToFit="0" vertical="center" wrapText="1"/>
    </xf>
    <xf borderId="11" fillId="0" fontId="7" numFmtId="49" xfId="0" applyAlignment="1" applyBorder="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12" fillId="0" fontId="7" numFmtId="49" xfId="0" applyAlignment="1" applyBorder="1" applyFont="1" applyNumberFormat="1">
      <alignment horizontal="left" readingOrder="0" shrinkToFit="0" vertical="center" wrapText="1"/>
    </xf>
    <xf borderId="14" fillId="0" fontId="7" numFmtId="49" xfId="0" applyAlignment="1" applyBorder="1" applyFont="1" applyNumberFormat="1">
      <alignment horizontal="left" readingOrder="0" shrinkToFit="0" vertical="center" wrapText="1"/>
    </xf>
    <xf borderId="15" fillId="0" fontId="7" numFmtId="49" xfId="0" applyAlignment="1" applyBorder="1" applyFont="1" applyNumberFormat="1">
      <alignment horizontal="left" readingOrder="0" shrinkToFit="0" vertical="center" wrapText="1"/>
    </xf>
    <xf borderId="16" fillId="0" fontId="7" numFmtId="49" xfId="0" applyAlignment="1" applyBorder="1" applyFont="1" applyNumberFormat="1">
      <alignment horizontal="left" readingOrder="0" shrinkToFit="0" vertical="center" wrapText="1"/>
    </xf>
    <xf borderId="1" fillId="0" fontId="13" numFmtId="0" xfId="0" applyAlignment="1" applyBorder="1" applyFont="1">
      <alignment horizontal="center"/>
    </xf>
    <xf borderId="1" fillId="0" fontId="14" numFmtId="0" xfId="0" applyAlignment="1" applyBorder="1" applyFont="1">
      <alignment horizontal="center" readingOrder="0" shrinkToFit="0" vertical="center" wrapText="1"/>
    </xf>
    <xf borderId="8" fillId="0" fontId="9" numFmtId="0" xfId="0" applyAlignment="1" applyBorder="1" applyFont="1">
      <alignment horizontal="left" readingOrder="0"/>
    </xf>
    <xf borderId="0" fillId="0" fontId="15" numFmtId="49" xfId="0" applyAlignment="1" applyFont="1" applyNumberFormat="1">
      <alignment shrinkToFit="0" vertical="center" wrapText="1"/>
    </xf>
    <xf borderId="8" fillId="0" fontId="16" numFmtId="0" xfId="0" applyAlignment="1" applyBorder="1" applyFont="1">
      <alignment horizontal="left" readingOrder="0"/>
    </xf>
    <xf borderId="6" fillId="0" fontId="2" numFmtId="0" xfId="0" applyBorder="1" applyFont="1"/>
    <xf borderId="17" fillId="0" fontId="2" numFmtId="0" xfId="0" applyBorder="1" applyFont="1"/>
    <xf borderId="8" fillId="0" fontId="17" numFmtId="0" xfId="0" applyBorder="1" applyFont="1"/>
    <xf borderId="8" fillId="0" fontId="17" numFmtId="0" xfId="0" applyAlignment="1" applyBorder="1" applyFont="1">
      <alignment horizontal="right" shrinkToFit="0" wrapText="1"/>
    </xf>
    <xf borderId="0" fillId="3" fontId="18" numFmtId="0" xfId="0" applyAlignment="1" applyFill="1" applyFont="1">
      <alignment shrinkToFit="0" vertical="center" wrapText="0"/>
    </xf>
    <xf borderId="0" fillId="3" fontId="19" numFmtId="0" xfId="0" applyAlignment="1" applyFill="1" applyFont="1">
      <alignment readingOrder="0" shrinkToFit="0" vertical="center" wrapText="0"/>
    </xf>
    <xf borderId="0" fillId="3" fontId="15" numFmtId="0" xfId="0" applyAlignment="1" applyFill="1" applyFont="1">
      <alignment shrinkToFit="0" vertical="center" wrapText="1"/>
    </xf>
    <xf borderId="0" fillId="3" fontId="20" numFmtId="0" xfId="0" applyAlignment="1" applyFill="1" applyFont="1">
      <alignment readingOrder="0"/>
    </xf>
    <xf borderId="0" fillId="0" fontId="21" numFmtId="0" xfId="0" applyAlignment="1" applyFont="1">
      <alignment horizontal="center" readingOrder="0" shrinkToFit="0" wrapText="1"/>
    </xf>
    <xf borderId="0" fillId="0" fontId="22" numFmtId="165" xfId="0" applyAlignment="1" applyFont="1" applyNumberFormat="1">
      <alignment horizontal="center" readingOrder="0" shrinkToFit="0" wrapText="1"/>
    </xf>
    <xf borderId="0" fillId="3" fontId="23" numFmtId="0" xfId="0" applyAlignment="1" applyFill="1" applyFont="1">
      <alignment readingOrder="0" shrinkToFit="0" vertical="top" wrapText="1"/>
    </xf>
    <xf borderId="8" fillId="2" fontId="24" numFmtId="0" xfId="0" applyAlignment="1" applyBorder="1" applyFill="1" applyFont="1">
      <alignment shrinkToFit="0" vertical="top" wrapText="1"/>
    </xf>
    <xf borderId="13" fillId="3" fontId="23" numFmtId="0" xfId="0" applyAlignment="1" applyBorder="1" applyFill="1" applyFont="1">
      <alignment readingOrder="0" shrinkToFit="0" vertical="top" wrapText="1"/>
    </xf>
    <xf borderId="13" fillId="3" fontId="23" numFmtId="0" xfId="0" applyAlignment="1" applyBorder="1" applyFill="1" applyFont="1">
      <alignment readingOrder="0" shrinkToFit="0" vertical="top" wrapText="1"/>
    </xf>
    <xf borderId="8" fillId="2" fontId="24" numFmtId="0" xfId="0" applyAlignment="1" applyBorder="1" applyFill="1" applyFont="1">
      <alignment readingOrder="0" shrinkToFit="0" vertical="top" wrapText="1"/>
    </xf>
    <xf borderId="13" fillId="0" fontId="25" numFmtId="49" xfId="0" applyAlignment="1" applyBorder="1" applyFont="1" applyNumberFormat="1">
      <alignment horizontal="left" readingOrder="0" shrinkToFit="0" vertical="top" wrapText="1"/>
    </xf>
    <xf borderId="18" fillId="2" fontId="24" numFmtId="0" xfId="0" applyAlignment="1" applyBorder="1" applyFill="1" applyFont="1">
      <alignment horizontal="left" shrinkToFit="0" vertical="center" wrapText="1"/>
    </xf>
    <xf borderId="18" fillId="0" fontId="25" numFmtId="0" xfId="0" applyAlignment="1" applyBorder="1" applyFont="1">
      <alignment horizontal="left" readingOrder="0" shrinkToFit="0" vertical="center" wrapText="1"/>
    </xf>
    <xf borderId="13" fillId="0" fontId="25" numFmtId="0" xfId="0" applyAlignment="1" applyBorder="1" applyFont="1">
      <alignment readingOrder="0" shrinkToFit="0" vertical="top" wrapText="1"/>
    </xf>
    <xf borderId="19" fillId="0" fontId="2" numFmtId="0" xfId="0" applyBorder="1" applyFont="1"/>
    <xf borderId="0" fillId="3" fontId="15" numFmtId="0" xfId="0" applyFill="1" applyFont="1"/>
    <xf borderId="8" fillId="2" fontId="26" numFmtId="0" xfId="0" applyAlignment="1" applyBorder="1" applyFill="1" applyFont="1">
      <alignment horizontal="center" readingOrder="0"/>
    </xf>
    <xf borderId="13" fillId="2" fontId="26" numFmtId="0" xfId="0" applyAlignment="1" applyBorder="1" applyFill="1" applyFont="1">
      <alignment horizontal="center" readingOrder="0"/>
    </xf>
    <xf borderId="8" fillId="0" fontId="15" numFmtId="0" xfId="0" applyAlignment="1" applyBorder="1" applyFont="1">
      <alignment readingOrder="0"/>
    </xf>
    <xf borderId="13" fillId="0" fontId="15" numFmtId="0" xfId="0" applyAlignment="1" applyBorder="1" applyFont="1">
      <alignment readingOrder="0"/>
    </xf>
    <xf borderId="13" fillId="0" fontId="15" numFmtId="0" xfId="0" applyBorder="1" applyFont="1"/>
    <xf borderId="13" fillId="2" fontId="26" numFmtId="0" xfId="0" applyAlignment="1" applyBorder="1" applyFill="1" applyFont="1">
      <alignment horizontal="center" readingOrder="0" shrinkToFit="0" wrapText="1"/>
    </xf>
    <xf borderId="8" fillId="3" fontId="25" numFmtId="0" xfId="0" applyAlignment="1" applyBorder="1" applyFill="1" applyFont="1">
      <alignment readingOrder="0" shrinkToFit="0" vertical="top" wrapText="1"/>
    </xf>
    <xf borderId="8" fillId="3" fontId="27" numFmtId="0" xfId="0" applyAlignment="1" applyBorder="1" applyFill="1" applyFont="1">
      <alignment readingOrder="0" vertical="top"/>
    </xf>
    <xf borderId="8" fillId="3" fontId="25" numFmtId="0" xfId="0" applyAlignment="1" applyBorder="1" applyFill="1" applyFont="1">
      <alignment horizontal="center" readingOrder="0" shrinkToFit="0" vertical="center" wrapText="1"/>
    </xf>
    <xf borderId="13" fillId="3" fontId="25" numFmtId="0" xfId="0" applyAlignment="1" applyBorder="1" applyFill="1" applyFont="1">
      <alignment horizontal="center" readingOrder="0" shrinkToFit="0" vertical="center" wrapText="1"/>
    </xf>
    <xf borderId="8" fillId="3" fontId="28" numFmtId="0" xfId="0" applyAlignment="1" applyBorder="1" applyFill="1" applyFont="1">
      <alignment horizontal="left" readingOrder="0"/>
    </xf>
    <xf borderId="8" fillId="3" fontId="29" numFmtId="0" xfId="0" applyAlignment="1" applyBorder="1" applyFill="1" applyFont="1">
      <alignment horizontal="left" readingOrder="0"/>
    </xf>
    <xf borderId="8" fillId="2" fontId="26" numFmtId="0" xfId="0" applyAlignment="1" applyBorder="1" applyFill="1" applyFont="1">
      <alignment horizontal="left" readingOrder="0" shrinkToFit="0" wrapText="1"/>
    </xf>
    <xf borderId="8" fillId="3" fontId="25" numFmtId="0" xfId="0" applyAlignment="1" applyBorder="1" applyFill="1" applyFont="1">
      <alignment horizontal="left" readingOrder="0" shrinkToFit="0" vertical="center" wrapText="1"/>
    </xf>
    <xf borderId="8" fillId="2" fontId="26" numFmtId="0" xfId="0" applyAlignment="1" applyBorder="1" applyFill="1" applyFont="1">
      <alignment horizontal="left" readingOrder="0"/>
    </xf>
    <xf borderId="8" fillId="3" fontId="30" numFmtId="0" xfId="0" applyAlignment="1" applyBorder="1" applyFill="1" applyFont="1">
      <alignment horizontal="left" readingOrder="0" shrinkToFit="0" vertical="center" wrapText="1"/>
    </xf>
    <xf borderId="0" fillId="0" fontId="15" numFmtId="49" xfId="0" applyAlignment="1" applyFont="1" applyNumberFormat="1">
      <alignment readingOrder="0" shrinkToFit="0" vertical="center" wrapText="1"/>
    </xf>
    <xf borderId="8" fillId="3" fontId="31" numFmtId="0" xfId="0" applyAlignment="1" applyBorder="1" applyFill="1" applyFont="1">
      <alignment horizontal="left" readingOrder="0" shrinkToFit="0" vertical="center" wrapText="1"/>
    </xf>
    <xf borderId="0" fillId="0" fontId="15" numFmtId="0" xfId="0" applyAlignment="1" applyFont="1">
      <alignment readingOrder="0"/>
    </xf>
    <xf borderId="0" fillId="3" fontId="15" numFmtId="0" xfId="0" applyAlignment="1" applyFill="1" applyFont="1">
      <alignment readingOrder="0" shrinkToFit="0" vertical="center" wrapText="1"/>
    </xf>
    <xf borderId="0" fillId="3" fontId="15" numFmtId="0" xfId="0" applyAlignment="1" applyFill="1" applyFont="1">
      <alignment readingOrder="0" shrinkToFit="0" vertical="center" wrapText="0"/>
    </xf>
    <xf borderId="0" fillId="0" fontId="15" numFmtId="0" xfId="0" applyAlignment="1" applyFont="1">
      <alignment readingOrder="0" shrinkToFit="0" wrapText="1"/>
    </xf>
    <xf borderId="0" fillId="0" fontId="25" numFmtId="0" xfId="0" applyAlignment="1" applyFont="1">
      <alignment vertical="top"/>
    </xf>
    <xf borderId="13" fillId="3" fontId="25" numFmtId="0" xfId="0" applyAlignment="1" applyBorder="1" applyFill="1" applyFont="1">
      <alignment horizontal="center" readingOrder="0" shrinkToFit="0" vertical="top" wrapText="1"/>
    </xf>
    <xf borderId="0" fillId="0" fontId="15" numFmtId="0" xfId="0" applyAlignment="1" applyFont="1">
      <alignment shrinkToFit="0" wrapText="1"/>
    </xf>
    <xf borderId="13" fillId="0" fontId="15" numFmtId="0" xfId="0" applyAlignment="1" applyBorder="1" applyFont="1">
      <alignment horizontal="center" readingOrder="0"/>
    </xf>
    <xf borderId="13" fillId="0" fontId="15" numFmtId="0" xfId="0" applyAlignment="1" applyBorder="1" applyFont="1">
      <alignment readingOrder="0" shrinkToFit="0" wrapText="1"/>
    </xf>
    <xf borderId="0" fillId="0" fontId="25" numFmtId="0" xfId="0" applyAlignment="1" applyFont="1">
      <alignment readingOrder="0" shrinkToFit="0" vertical="top" wrapText="1"/>
    </xf>
    <xf borderId="8" fillId="0" fontId="25" numFmtId="0" xfId="0" applyAlignment="1" applyBorder="1" applyFont="1">
      <alignment readingOrder="0" shrinkToFit="0" vertical="top" wrapText="1"/>
    </xf>
    <xf borderId="0" fillId="0" fontId="25" numFmtId="0" xfId="0" applyAlignment="1" applyFont="1">
      <alignment shrinkToFit="0" vertical="top" wrapText="1"/>
    </xf>
    <xf borderId="8" fillId="0" fontId="25" numFmtId="0" xfId="0" applyAlignment="1" applyBorder="1" applyFont="1">
      <alignment shrinkToFit="0" vertical="top" wrapText="1"/>
    </xf>
    <xf borderId="0" fillId="0" fontId="25" numFmtId="0" xfId="0" applyAlignment="1" applyFont="1">
      <alignment readingOrder="0" shrinkToFit="0" vertical="top" wrapText="0"/>
    </xf>
    <xf borderId="0" fillId="3" fontId="32" numFmtId="0" xfId="0" applyFill="1" applyFont="1"/>
    <xf borderId="0" fillId="3" fontId="20" numFmtId="0" xfId="0" applyAlignment="1" applyFill="1" applyFont="1">
      <alignment readingOrder="0" shrinkToFit="0" vertical="center" wrapText="0"/>
    </xf>
    <xf borderId="8" fillId="3" fontId="33" numFmtId="0" xfId="0" applyAlignment="1" applyBorder="1" applyFill="1" applyFont="1">
      <alignment horizontal="center" shrinkToFit="0" vertical="center" wrapText="0"/>
    </xf>
    <xf borderId="13" fillId="2" fontId="24" numFmtId="0" xfId="0" applyAlignment="1" applyBorder="1" applyFill="1" applyFont="1">
      <alignment horizontal="center" shrinkToFit="0" vertical="center" wrapText="1"/>
    </xf>
    <xf borderId="13" fillId="2" fontId="24" numFmtId="0" xfId="0" applyAlignment="1" applyBorder="1" applyFill="1" applyFont="1">
      <alignment horizontal="center" readingOrder="0" shrinkToFit="0" vertical="center" wrapText="1"/>
    </xf>
    <xf borderId="8" fillId="2" fontId="34" numFmtId="0" xfId="0" applyAlignment="1" applyBorder="1" applyFill="1" applyFont="1">
      <alignment horizontal="left" shrinkToFit="0" vertical="center" wrapText="0"/>
    </xf>
    <xf borderId="9" fillId="2" fontId="34" numFmtId="0" xfId="0" applyAlignment="1" applyBorder="1" applyFill="1" applyFont="1">
      <alignment horizontal="left" shrinkToFit="0" vertical="center" wrapText="1"/>
    </xf>
    <xf borderId="13" fillId="0" fontId="25" numFmtId="0" xfId="0" applyAlignment="1" applyBorder="1" applyFont="1">
      <alignment horizontal="right" shrinkToFit="0" vertical="center" wrapText="1"/>
    </xf>
    <xf borderId="13" fillId="0" fontId="25" numFmtId="0" xfId="0" applyAlignment="1" applyBorder="1" applyFont="1">
      <alignment readingOrder="0" shrinkToFit="0" vertical="center" wrapText="1"/>
    </xf>
    <xf borderId="13" fillId="0" fontId="25" numFmtId="0" xfId="0" applyAlignment="1" applyBorder="1" applyFont="1">
      <alignment shrinkToFit="0" vertical="center" wrapText="1"/>
    </xf>
    <xf borderId="13" fillId="0" fontId="25" numFmtId="0" xfId="0" applyAlignment="1" applyBorder="1" applyFont="1">
      <alignment horizontal="center" readingOrder="0" shrinkToFit="0" vertical="center" wrapText="1"/>
    </xf>
    <xf borderId="13" fillId="0" fontId="25" numFmtId="0" xfId="0" applyAlignment="1" applyBorder="1" applyFont="1">
      <alignment horizontal="center" shrinkToFit="0" vertical="center" wrapText="1"/>
    </xf>
    <xf borderId="13" fillId="3" fontId="23" numFmtId="0" xfId="0" applyAlignment="1" applyBorder="1" applyFill="1" applyFont="1">
      <alignment horizontal="left" readingOrder="0" vertical="center"/>
    </xf>
    <xf borderId="9" fillId="2" fontId="34" numFmtId="0" xfId="0" applyAlignment="1" applyBorder="1" applyFill="1" applyFont="1">
      <alignment horizontal="left" shrinkToFit="0" vertical="center" wrapText="0"/>
    </xf>
    <xf borderId="13" fillId="0" fontId="25" numFmtId="0" xfId="0" applyAlignment="1" applyBorder="1" applyFont="1">
      <alignment horizontal="right" readingOrder="0" shrinkToFit="0" vertical="center" wrapText="1"/>
    </xf>
    <xf borderId="18" fillId="0" fontId="25" numFmtId="0" xfId="0" applyAlignment="1" applyBorder="1" applyFont="1">
      <alignment horizontal="right" shrinkToFit="0" vertical="center" wrapText="1"/>
    </xf>
    <xf borderId="0" fillId="3" fontId="23" numFmtId="0" xfId="0" applyAlignment="1" applyFill="1" applyFont="1">
      <alignment horizontal="left" readingOrder="0" vertical="center"/>
    </xf>
    <xf borderId="8" fillId="2" fontId="34" numFmtId="0" xfId="0" applyAlignment="1" applyBorder="1" applyFill="1" applyFont="1">
      <alignment horizontal="left" readingOrder="0" shrinkToFit="0" vertical="center" wrapText="0"/>
    </xf>
    <xf borderId="13" fillId="0" fontId="25" numFmtId="0" xfId="0" applyAlignment="1" applyBorder="1" applyFont="1">
      <alignment horizontal="right" readingOrder="0" shrinkToFit="0" vertical="top" wrapText="1"/>
    </xf>
    <xf borderId="13" fillId="0" fontId="25" numFmtId="0" xfId="0" applyAlignment="1" applyBorder="1" applyFont="1">
      <alignment shrinkToFit="0" vertical="top" wrapText="1"/>
    </xf>
    <xf borderId="13" fillId="0" fontId="25" numFmtId="0" xfId="0" applyAlignment="1" applyBorder="1" applyFont="1">
      <alignment horizontal="right" shrinkToFit="0" vertical="top" wrapText="1"/>
    </xf>
    <xf borderId="9" fillId="2" fontId="34" numFmtId="0" xfId="0" applyAlignment="1" applyBorder="1" applyFill="1" applyFont="1">
      <alignment horizontal="left" readingOrder="0" shrinkToFit="0" vertical="center" wrapText="1"/>
    </xf>
    <xf borderId="0" fillId="0" fontId="25" numFmtId="0" xfId="0" applyAlignment="1" applyFont="1">
      <alignment horizontal="right" readingOrder="0" shrinkToFit="0" vertical="top" wrapText="1"/>
    </xf>
    <xf borderId="0" fillId="3" fontId="26" numFmtId="0" xfId="0" applyAlignment="1" applyFill="1" applyFont="1">
      <alignment readingOrder="0" shrinkToFit="0" vertical="center" wrapText="1"/>
    </xf>
    <xf borderId="0" fillId="3" fontId="26" numFmtId="0" xfId="0" applyAlignment="1" applyFill="1" applyFont="1">
      <alignment shrinkToFit="0" vertical="center" wrapText="1"/>
    </xf>
    <xf borderId="6" fillId="3" fontId="20" numFmtId="0" xfId="0" applyAlignment="1" applyBorder="1" applyFill="1" applyFont="1">
      <alignment readingOrder="0" shrinkToFit="0" vertical="center" wrapText="0"/>
    </xf>
    <xf borderId="17" fillId="3" fontId="18" numFmtId="0" xfId="0" applyAlignment="1" applyBorder="1" applyFill="1" applyFont="1">
      <alignment shrinkToFit="0" vertical="center" wrapText="1"/>
    </xf>
    <xf borderId="0" fillId="3" fontId="23" numFmtId="0" xfId="0" applyAlignment="1" applyFill="1" applyFont="1">
      <alignment horizontal="left" readingOrder="0"/>
    </xf>
    <xf borderId="13" fillId="3" fontId="23" numFmtId="0" xfId="0" applyAlignment="1" applyBorder="1" applyFill="1" applyFont="1">
      <alignment horizontal="left" readingOrder="0"/>
    </xf>
    <xf borderId="0" fillId="0" fontId="15" numFmtId="0" xfId="0" applyAlignment="1" applyFont="1">
      <alignment shrinkToFit="0" vertical="center" wrapText="1"/>
    </xf>
    <xf borderId="0" fillId="0" fontId="13" numFmtId="0" xfId="0" applyAlignment="1" applyFont="1">
      <alignment horizontal="center"/>
    </xf>
    <xf borderId="5" fillId="0" fontId="9" numFmtId="0" xfId="0" applyAlignment="1" applyBorder="1" applyFont="1">
      <alignment horizontal="left" readingOrder="0"/>
    </xf>
    <xf borderId="5" fillId="0" fontId="4" numFmtId="0" xfId="0" applyAlignment="1" applyBorder="1" applyFont="1">
      <alignment readingOrder="0" vertical="bottom"/>
    </xf>
    <xf borderId="13" fillId="0" fontId="17" numFmtId="0" xfId="0" applyAlignment="1" applyBorder="1" applyFont="1">
      <alignment horizontal="right" shrinkToFit="0" wrapText="1"/>
    </xf>
    <xf borderId="1" fillId="0" fontId="21" numFmtId="0" xfId="0" applyAlignment="1" applyBorder="1" applyFont="1">
      <alignment horizontal="center" readingOrder="0" shrinkToFit="0" wrapText="1"/>
    </xf>
    <xf borderId="2" fillId="0" fontId="21" numFmtId="0" xfId="0" applyAlignment="1" applyBorder="1" applyFont="1">
      <alignment horizontal="center" readingOrder="0" shrinkToFit="0" wrapText="1"/>
    </xf>
    <xf borderId="0" fillId="3" fontId="35" numFmtId="0" xfId="0" applyAlignment="1" applyFill="1" applyFont="1">
      <alignment readingOrder="0"/>
    </xf>
    <xf borderId="8" fillId="2" fontId="36" numFmtId="0" xfId="0" applyAlignment="1" applyBorder="1" applyFill="1" applyFont="1">
      <alignment horizontal="center" readingOrder="0"/>
    </xf>
    <xf borderId="13" fillId="3" fontId="23" numFmtId="0" xfId="0" applyAlignment="1" applyBorder="1" applyFill="1" applyFont="1">
      <alignment horizontal="center" readingOrder="0" shrinkToFit="0" vertical="top" wrapText="1"/>
    </xf>
    <xf borderId="13" fillId="4" fontId="34" numFmtId="0" xfId="0" applyAlignment="1" applyBorder="1" applyFill="1" applyFont="1">
      <alignment horizontal="center" readingOrder="0" shrinkToFit="0" vertical="top" wrapText="0"/>
    </xf>
    <xf borderId="0" fillId="3" fontId="36" numFmtId="0" xfId="0" applyAlignment="1" applyFill="1" applyFont="1">
      <alignment horizontal="right" readingOrder="0"/>
    </xf>
    <xf borderId="0" fillId="0" fontId="36" numFmtId="0" xfId="0" applyAlignment="1" applyFont="1">
      <alignment horizontal="right" readingOrder="0"/>
    </xf>
    <xf borderId="0" fillId="0" fontId="24" numFmtId="0" xfId="0" applyAlignment="1" applyFont="1">
      <alignment horizontal="center" readingOrder="0" shrinkToFit="0" vertical="top" wrapText="1"/>
    </xf>
    <xf borderId="20" fillId="2" fontId="24" numFmtId="0" xfId="0" applyAlignment="1" applyBorder="1" applyFill="1" applyFont="1">
      <alignment readingOrder="0" shrinkToFit="0" vertical="top" wrapText="0"/>
    </xf>
    <xf borderId="0" fillId="2" fontId="24" numFmtId="0" xfId="0" applyAlignment="1" applyFill="1" applyFont="1">
      <alignment readingOrder="0" shrinkToFit="0" vertical="top" wrapText="0"/>
    </xf>
    <xf borderId="10" fillId="2" fontId="24" numFmtId="0" xfId="0" applyAlignment="1" applyBorder="1" applyFill="1" applyFont="1">
      <alignment readingOrder="0" shrinkToFit="0" vertical="top" wrapText="1"/>
    </xf>
    <xf borderId="13" fillId="0" fontId="25" numFmtId="0" xfId="0" applyAlignment="1" applyBorder="1" applyFont="1">
      <alignment horizontal="center" readingOrder="0" shrinkToFit="0" vertical="center" wrapText="1"/>
    </xf>
    <xf borderId="8" fillId="0" fontId="23" numFmtId="0" xfId="0" applyAlignment="1" applyBorder="1" applyFont="1">
      <alignment readingOrder="0" shrinkToFit="0" vertical="center" wrapText="1"/>
    </xf>
    <xf borderId="13" fillId="0" fontId="25" numFmtId="0" xfId="0" applyAlignment="1" applyBorder="1" applyFont="1">
      <alignment horizontal="center" readingOrder="0" vertical="center"/>
    </xf>
    <xf borderId="19" fillId="0" fontId="37" numFmtId="0" xfId="0" applyAlignment="1" applyBorder="1" applyFont="1">
      <alignment horizontal="left" readingOrder="0" shrinkToFit="0" vertical="center" wrapText="1"/>
    </xf>
    <xf borderId="13" fillId="0" fontId="25" numFmtId="0" xfId="0" applyAlignment="1" applyBorder="1" applyFont="1">
      <alignment horizontal="center" vertical="center"/>
    </xf>
    <xf borderId="13" fillId="0" fontId="25" numFmtId="0" xfId="0" applyAlignment="1" applyBorder="1" applyFont="1">
      <alignment horizontal="left" readingOrder="0" shrinkToFit="0" vertical="center" wrapText="1"/>
    </xf>
    <xf borderId="8" fillId="3" fontId="23" numFmtId="0" xfId="0" applyAlignment="1" applyBorder="1" applyFill="1" applyFont="1">
      <alignment readingOrder="0" shrinkToFit="0" vertical="center" wrapText="1"/>
    </xf>
    <xf borderId="13" fillId="0" fontId="25" numFmtId="49" xfId="0" applyAlignment="1" applyBorder="1" applyFont="1" applyNumberFormat="1">
      <alignment horizontal="center" shrinkToFit="0" vertical="center" wrapText="1"/>
    </xf>
    <xf borderId="8" fillId="3" fontId="25" numFmtId="0" xfId="0" applyAlignment="1" applyBorder="1" applyFill="1" applyFont="1">
      <alignment readingOrder="0" shrinkToFit="0" vertical="center" wrapText="1"/>
    </xf>
    <xf borderId="13" fillId="3" fontId="25" numFmtId="49" xfId="0" applyAlignment="1" applyBorder="1" applyFill="1" applyFont="1" applyNumberFormat="1">
      <alignment horizontal="center" shrinkToFit="0" vertical="center" wrapText="1"/>
    </xf>
    <xf borderId="13" fillId="3" fontId="25" numFmtId="0" xfId="0" applyAlignment="1" applyBorder="1" applyFill="1" applyFont="1">
      <alignment horizontal="center" vertical="center"/>
    </xf>
    <xf borderId="13" fillId="3" fontId="25" numFmtId="0" xfId="0" applyAlignment="1" applyBorder="1" applyFill="1" applyFont="1">
      <alignment horizontal="center" readingOrder="0" vertical="center"/>
    </xf>
    <xf borderId="13" fillId="3" fontId="25" numFmtId="0" xfId="0" applyAlignment="1" applyBorder="1" applyFill="1" applyFont="1">
      <alignment horizontal="left" readingOrder="0" shrinkToFit="0" vertical="center" wrapText="1"/>
    </xf>
    <xf borderId="13" fillId="3" fontId="25" numFmtId="49" xfId="0" applyAlignment="1" applyBorder="1" applyFill="1" applyFont="1" applyNumberFormat="1">
      <alignment horizontal="center" readingOrder="0" shrinkToFit="0" vertical="center" wrapText="1"/>
    </xf>
    <xf borderId="8" fillId="3" fontId="38" numFmtId="0" xfId="0" applyAlignment="1" applyBorder="1" applyFill="1" applyFont="1">
      <alignment readingOrder="0" shrinkToFit="0" vertical="center" wrapText="1"/>
    </xf>
    <xf borderId="8" fillId="3" fontId="25" numFmtId="0" xfId="0" applyAlignment="1" applyBorder="1" applyFill="1" applyFont="1">
      <alignment shrinkToFit="0" vertical="center" wrapText="1"/>
    </xf>
    <xf borderId="8" fillId="0" fontId="25" numFmtId="0" xfId="0" applyAlignment="1" applyBorder="1" applyFont="1">
      <alignment readingOrder="0" shrinkToFit="0" vertical="center" wrapText="1"/>
    </xf>
    <xf borderId="8" fillId="3" fontId="25" numFmtId="0" xfId="0" applyAlignment="1" applyBorder="1" applyFill="1" applyFont="1">
      <alignment readingOrder="0" shrinkToFit="0" vertical="center" wrapText="1"/>
    </xf>
    <xf borderId="8" fillId="3" fontId="25" numFmtId="0" xfId="0" applyAlignment="1" applyBorder="1" applyFill="1" applyFont="1">
      <alignment shrinkToFit="0" vertical="center" wrapText="1"/>
    </xf>
    <xf borderId="8" fillId="0" fontId="25" numFmtId="0" xfId="0" applyAlignment="1" applyBorder="1" applyFont="1">
      <alignment shrinkToFit="0" vertical="center" wrapText="1"/>
    </xf>
    <xf borderId="13" fillId="0" fontId="25" numFmtId="0" xfId="0" applyAlignment="1" applyBorder="1" applyFont="1">
      <alignment horizontal="center" readingOrder="0" shrinkToFit="0" vertical="center" wrapText="1"/>
    </xf>
    <xf borderId="13" fillId="0" fontId="25" numFmtId="49" xfId="0" applyAlignment="1" applyBorder="1" applyFont="1" applyNumberFormat="1">
      <alignment horizontal="center" readingOrder="0" vertical="center"/>
    </xf>
    <xf borderId="13" fillId="0" fontId="25" numFmtId="0" xfId="0" applyAlignment="1" applyBorder="1" applyFont="1">
      <alignment horizontal="center" shrinkToFit="0" vertical="center" wrapText="1"/>
    </xf>
    <xf borderId="8" fillId="3" fontId="39" numFmtId="0" xfId="0" applyAlignment="1" applyBorder="1" applyFill="1" applyFont="1">
      <alignment readingOrder="0" shrinkToFit="0" vertical="center" wrapText="1"/>
    </xf>
    <xf borderId="20" fillId="2" fontId="24" numFmtId="0" xfId="0" applyAlignment="1" applyBorder="1" applyFill="1" applyFont="1">
      <alignment readingOrder="0" shrinkToFit="0" vertical="center" wrapText="0"/>
    </xf>
    <xf borderId="0" fillId="2" fontId="24" numFmtId="0" xfId="0" applyAlignment="1" applyFill="1" applyFont="1">
      <alignment readingOrder="0" shrinkToFit="0" vertical="center" wrapText="0"/>
    </xf>
    <xf borderId="21" fillId="2" fontId="24" numFmtId="0" xfId="0" applyAlignment="1" applyBorder="1" applyFill="1" applyFont="1">
      <alignment readingOrder="0" shrinkToFit="0" vertical="center" wrapText="0"/>
    </xf>
    <xf borderId="13" fillId="0" fontId="25" numFmtId="0" xfId="0" applyAlignment="1" applyBorder="1" applyFont="1">
      <alignment horizontal="center" shrinkToFit="0" vertical="center" wrapText="1"/>
    </xf>
    <xf borderId="13" fillId="0" fontId="25" numFmtId="49" xfId="0" applyAlignment="1" applyBorder="1" applyFont="1" applyNumberFormat="1">
      <alignment horizontal="center" readingOrder="0" shrinkToFit="0" vertical="center" wrapText="1"/>
    </xf>
    <xf borderId="8" fillId="0" fontId="25" numFmtId="0" xfId="0" applyAlignment="1" applyBorder="1" applyFont="1">
      <alignment horizontal="left" readingOrder="0" shrinkToFit="0" vertical="center" wrapText="1"/>
    </xf>
    <xf borderId="8" fillId="3" fontId="25" numFmtId="0" xfId="0" applyAlignment="1" applyBorder="1" applyFill="1" applyFont="1">
      <alignment horizontal="left" readingOrder="0" shrinkToFit="0" vertical="center" wrapText="1"/>
    </xf>
    <xf borderId="0" fillId="0" fontId="25" numFmtId="0" xfId="0" applyAlignment="1" applyFont="1">
      <alignment shrinkToFit="0" vertical="top" wrapText="1"/>
    </xf>
    <xf borderId="0" fillId="0" fontId="22" numFmtId="0" xfId="0" applyAlignment="1" applyFont="1">
      <alignment horizontal="center" readingOrder="0" shrinkToFit="0" wrapText="1"/>
    </xf>
    <xf borderId="8" fillId="3" fontId="40" numFmtId="0" xfId="0" applyAlignment="1" applyBorder="1" applyFill="1" applyFont="1">
      <alignment horizontal="left" readingOrder="0"/>
    </xf>
    <xf borderId="0" fillId="0" fontId="25" numFmtId="0" xfId="0" applyAlignment="1" applyFont="1">
      <alignment readingOrder="0" shrinkToFit="0" vertical="center" wrapText="1"/>
    </xf>
    <xf borderId="0" fillId="0" fontId="25" numFmtId="0" xfId="0" applyAlignment="1" applyFont="1">
      <alignment shrinkToFit="0" vertical="center" wrapText="1"/>
    </xf>
    <xf borderId="1" fillId="0" fontId="1" numFmtId="0" xfId="0" applyAlignment="1" applyBorder="1" applyFont="1">
      <alignment horizontal="center" vertical="center"/>
    </xf>
    <xf borderId="0" fillId="0" fontId="9" numFmtId="0" xfId="0" applyAlignment="1" applyFont="1">
      <alignment horizontal="left" readingOrder="0"/>
    </xf>
    <xf borderId="0" fillId="0" fontId="4" numFmtId="0" xfId="0" applyAlignment="1" applyFont="1">
      <alignment readingOrder="0" vertical="bottom"/>
    </xf>
    <xf borderId="8" fillId="0" fontId="6" numFmtId="0" xfId="0" applyAlignment="1" applyBorder="1" applyFont="1">
      <alignment vertical="center"/>
    </xf>
    <xf borderId="0" fillId="2" fontId="41" numFmtId="0" xfId="0" applyAlignment="1" applyFill="1" applyFont="1">
      <alignment horizontal="center" readingOrder="0" shrinkToFit="0" vertical="center" wrapText="1"/>
    </xf>
    <xf borderId="13" fillId="2" fontId="42" numFmtId="0" xfId="0" applyAlignment="1" applyBorder="1" applyFill="1" applyFont="1">
      <alignment horizontal="center" shrinkToFit="0" vertical="center" wrapText="1"/>
    </xf>
    <xf borderId="13" fillId="2" fontId="42" numFmtId="0" xfId="0" applyAlignment="1" applyBorder="1" applyFill="1" applyFont="1">
      <alignment horizontal="center" readingOrder="0" shrinkToFit="0" vertical="center" wrapText="1"/>
    </xf>
    <xf borderId="18" fillId="2" fontId="42" numFmtId="0" xfId="0" applyAlignment="1" applyBorder="1" applyFill="1" applyFont="1">
      <alignment horizontal="center" readingOrder="0" shrinkToFit="0" vertical="center" wrapText="1"/>
    </xf>
    <xf borderId="18" fillId="0" fontId="43" numFmtId="0" xfId="0" applyAlignment="1" applyBorder="1" applyFont="1">
      <alignment readingOrder="0" shrinkToFit="0" vertical="center" wrapText="1"/>
    </xf>
    <xf borderId="13" fillId="0" fontId="43" numFmtId="0" xfId="0" applyAlignment="1" applyBorder="1" applyFont="1">
      <alignment horizontal="center" readingOrder="0" shrinkToFit="0" vertical="center" wrapText="1"/>
    </xf>
    <xf borderId="13" fillId="3" fontId="44" numFmtId="0" xfId="0" applyAlignment="1" applyBorder="1" applyFill="1" applyFont="1">
      <alignment readingOrder="0" shrinkToFit="0" vertical="center" wrapText="1"/>
    </xf>
    <xf borderId="13" fillId="3" fontId="43" numFmtId="0" xfId="0" applyAlignment="1" applyBorder="1" applyFill="1" applyFont="1">
      <alignment horizontal="left" readingOrder="0" shrinkToFit="0" vertical="center" wrapText="1"/>
    </xf>
    <xf borderId="13" fillId="0" fontId="45" numFmtId="0" xfId="0" applyAlignment="1" applyBorder="1" applyFont="1">
      <alignment horizontal="center" readingOrder="0" shrinkToFit="0" vertical="center" wrapText="1"/>
    </xf>
    <xf borderId="13" fillId="0" fontId="43" numFmtId="0" xfId="0" applyAlignment="1" applyBorder="1" applyFont="1">
      <alignment shrinkToFit="0" wrapText="1"/>
    </xf>
    <xf borderId="13" fillId="0" fontId="44" numFmtId="166" xfId="0" applyAlignment="1" applyBorder="1" applyFont="1" applyNumberFormat="1">
      <alignment horizontal="center" readingOrder="0" shrinkToFit="0" vertical="center" wrapText="1"/>
    </xf>
    <xf borderId="22" fillId="0" fontId="2" numFmtId="0" xfId="0" applyBorder="1" applyFont="1"/>
    <xf borderId="13" fillId="3" fontId="43" numFmtId="0" xfId="0" applyAlignment="1" applyBorder="1" applyFill="1" applyFont="1">
      <alignment horizontal="center" readingOrder="0" shrinkToFit="0" vertical="center" wrapText="1"/>
    </xf>
    <xf borderId="13" fillId="3" fontId="44" numFmtId="0" xfId="0" applyAlignment="1" applyBorder="1" applyFill="1" applyFont="1">
      <alignment horizontal="left" readingOrder="0" shrinkToFit="0" vertical="center" wrapText="1"/>
    </xf>
    <xf borderId="13" fillId="0" fontId="43" numFmtId="0" xfId="0" applyAlignment="1" applyBorder="1" applyFont="1">
      <alignment readingOrder="0" shrinkToFit="0" wrapText="1"/>
    </xf>
    <xf borderId="0" fillId="0" fontId="43" numFmtId="0" xfId="0" applyAlignment="1" applyFont="1">
      <alignment readingOrder="0" shrinkToFit="0" vertical="center" wrapText="1"/>
    </xf>
    <xf borderId="0" fillId="3" fontId="43" numFmtId="0" xfId="0" applyAlignment="1" applyFill="1" applyFont="1">
      <alignment shrinkToFit="0" vertical="center" wrapText="1"/>
    </xf>
    <xf borderId="0" fillId="0" fontId="43" numFmtId="0" xfId="0" applyAlignment="1" applyFont="1">
      <alignment shrinkToFit="0" vertical="center" wrapText="1"/>
    </xf>
    <xf borderId="0" fillId="0" fontId="43" numFmtId="0" xfId="0" applyAlignment="1" applyFont="1">
      <alignment shrinkToFit="0" wrapText="1"/>
    </xf>
    <xf borderId="1" fillId="0" fontId="1" numFmtId="0" xfId="0" applyAlignment="1" applyBorder="1" applyFont="1">
      <alignment horizontal="center"/>
    </xf>
    <xf borderId="1" fillId="0" fontId="3" numFmtId="0" xfId="0" applyAlignment="1" applyBorder="1" applyFont="1">
      <alignment horizontal="center" shrinkToFit="0" vertical="center" wrapText="1"/>
    </xf>
    <xf borderId="8" fillId="0" fontId="4" numFmtId="0" xfId="0" applyAlignment="1" applyBorder="1" applyFont="1">
      <alignment horizontal="left" readingOrder="0"/>
    </xf>
    <xf borderId="0" fillId="0" fontId="25" numFmtId="49" xfId="0" applyAlignment="1" applyFont="1" applyNumberFormat="1">
      <alignment shrinkToFit="0" vertical="center" wrapText="1"/>
    </xf>
    <xf borderId="8" fillId="0" fontId="5" numFmtId="0" xfId="0" applyAlignment="1" applyBorder="1" applyFont="1">
      <alignment horizontal="left" readingOrder="0"/>
    </xf>
    <xf borderId="8" fillId="0" fontId="46" numFmtId="0" xfId="0" applyBorder="1" applyFont="1"/>
    <xf borderId="8" fillId="0" fontId="46" numFmtId="0" xfId="0" applyAlignment="1" applyBorder="1" applyFont="1">
      <alignment horizontal="right" shrinkToFit="0" wrapText="1"/>
    </xf>
    <xf borderId="0" fillId="3" fontId="47" numFmtId="0" xfId="0" applyAlignment="1" applyFill="1" applyFont="1">
      <alignment shrinkToFit="0" vertical="center" wrapText="0"/>
    </xf>
    <xf borderId="0" fillId="3" fontId="48" numFmtId="0" xfId="0" applyAlignment="1" applyFill="1" applyFont="1">
      <alignment shrinkToFit="0" vertical="center" wrapText="0"/>
    </xf>
    <xf borderId="0" fillId="3" fontId="25" numFmtId="0" xfId="0" applyAlignment="1" applyFill="1" applyFont="1">
      <alignment shrinkToFit="0" vertical="center" wrapText="1"/>
    </xf>
    <xf borderId="0" fillId="3" fontId="49" numFmtId="0" xfId="0" applyFill="1" applyFont="1"/>
    <xf borderId="0" fillId="0" fontId="7" numFmtId="0" xfId="0" applyAlignment="1" applyFont="1">
      <alignment horizontal="center" shrinkToFit="0" wrapText="1"/>
    </xf>
    <xf borderId="8" fillId="2" fontId="24" numFmtId="0" xfId="0" applyAlignment="1" applyBorder="1" applyFill="1" applyFont="1">
      <alignment shrinkToFit="0" vertical="top" wrapText="1"/>
    </xf>
    <xf borderId="13" fillId="3" fontId="23" numFmtId="0" xfId="0" applyAlignment="1" applyBorder="1" applyFill="1" applyFont="1">
      <alignment shrinkToFit="0" vertical="top" wrapText="1"/>
    </xf>
    <xf borderId="13" fillId="0" fontId="25" numFmtId="49" xfId="0" applyAlignment="1" applyBorder="1" applyFont="1" applyNumberFormat="1">
      <alignment horizontal="left" shrinkToFit="0" vertical="top" wrapText="1"/>
    </xf>
    <xf borderId="0" fillId="0" fontId="24" numFmtId="0" xfId="0" applyAlignment="1" applyFont="1">
      <alignment horizontal="left" shrinkToFit="0" vertical="center" wrapText="1"/>
    </xf>
    <xf borderId="0" fillId="0" fontId="25" numFmtId="0" xfId="0" applyAlignment="1" applyFont="1">
      <alignment horizontal="left" shrinkToFit="0" vertical="center" wrapText="1"/>
    </xf>
    <xf borderId="13" fillId="0" fontId="25" numFmtId="0" xfId="0" applyAlignment="1" applyBorder="1" applyFont="1">
      <alignment shrinkToFit="0" vertical="top" wrapText="1"/>
    </xf>
    <xf borderId="0" fillId="3" fontId="49" numFmtId="0" xfId="0" applyAlignment="1" applyFill="1" applyFont="1">
      <alignment vertical="bottom"/>
    </xf>
    <xf borderId="0" fillId="0" fontId="25" numFmtId="0" xfId="0" applyAlignment="1" applyFont="1">
      <alignment vertical="top"/>
    </xf>
    <xf borderId="8" fillId="2" fontId="34" numFmtId="0" xfId="0" applyAlignment="1" applyBorder="1" applyFill="1" applyFont="1">
      <alignment horizontal="center" vertical="bottom"/>
    </xf>
    <xf borderId="13" fillId="2" fontId="34" numFmtId="0" xfId="0" applyAlignment="1" applyBorder="1" applyFill="1" applyFont="1">
      <alignment horizontal="center" shrinkToFit="0" vertical="bottom" wrapText="1"/>
    </xf>
    <xf borderId="0" fillId="0" fontId="25" numFmtId="0" xfId="0" applyAlignment="1" applyFont="1">
      <alignment vertical="bottom"/>
    </xf>
    <xf borderId="8" fillId="0" fontId="25" numFmtId="0" xfId="0" applyAlignment="1" applyBorder="1" applyFont="1">
      <alignment readingOrder="0" shrinkToFit="0" vertical="top" wrapText="1"/>
    </xf>
    <xf borderId="8" fillId="0" fontId="25" numFmtId="0" xfId="0" applyAlignment="1" applyBorder="1" applyFont="1">
      <alignment shrinkToFit="0" vertical="top" wrapText="1"/>
    </xf>
    <xf borderId="8" fillId="0" fontId="25" numFmtId="0" xfId="0" applyAlignment="1" applyBorder="1" applyFont="1">
      <alignment vertical="top"/>
    </xf>
    <xf borderId="0" fillId="3" fontId="25" numFmtId="0" xfId="0" applyAlignment="1" applyFill="1" applyFont="1">
      <alignment vertical="bottom"/>
    </xf>
    <xf borderId="0" fillId="3" fontId="25" numFmtId="0" xfId="0" applyFill="1" applyFont="1"/>
    <xf borderId="0" fillId="0" fontId="25" numFmtId="49" xfId="0" applyFont="1" applyNumberFormat="1"/>
    <xf borderId="0" fillId="3" fontId="49" numFmtId="0" xfId="0" applyAlignment="1" applyFill="1" applyFont="1">
      <alignment readingOrder="0"/>
    </xf>
    <xf borderId="13" fillId="2" fontId="41" numFmtId="0" xfId="0" applyAlignment="1" applyBorder="1" applyFill="1" applyFont="1">
      <alignment horizontal="center" shrinkToFit="0" wrapText="1"/>
    </xf>
    <xf borderId="13" fillId="2" fontId="41" numFmtId="0" xfId="0" applyAlignment="1" applyBorder="1" applyFill="1" applyFont="1">
      <alignment horizontal="center" readingOrder="0" shrinkToFit="0" wrapText="1"/>
    </xf>
    <xf borderId="0" fillId="0" fontId="25" numFmtId="0" xfId="0" applyAlignment="1" applyFont="1">
      <alignment shrinkToFit="0" wrapText="1"/>
    </xf>
    <xf borderId="19" fillId="0" fontId="25" numFmtId="0" xfId="0" applyAlignment="1" applyBorder="1" applyFont="1">
      <alignment horizontal="left" shrinkToFit="0" vertical="top" wrapText="1"/>
    </xf>
    <xf borderId="19" fillId="0" fontId="34" numFmtId="0" xfId="0" applyAlignment="1" applyBorder="1" applyFont="1">
      <alignment horizontal="left" shrinkToFit="0" vertical="top" wrapText="1"/>
    </xf>
    <xf borderId="19" fillId="0" fontId="25" numFmtId="0" xfId="0" applyAlignment="1" applyBorder="1" applyFont="1">
      <alignment shrinkToFit="0" vertical="top" wrapText="1"/>
    </xf>
    <xf borderId="19" fillId="0" fontId="50" numFmtId="0" xfId="0" applyAlignment="1" applyBorder="1" applyFont="1">
      <alignment shrinkToFit="0" vertical="top" wrapText="1"/>
    </xf>
    <xf borderId="19" fillId="0" fontId="25" numFmtId="0" xfId="0" applyAlignment="1" applyBorder="1" applyFont="1">
      <alignment horizontal="center" shrinkToFit="0" vertical="top" wrapText="1"/>
    </xf>
    <xf borderId="19" fillId="0" fontId="51" numFmtId="0" xfId="0" applyAlignment="1" applyBorder="1" applyFont="1">
      <alignment shrinkToFit="0" vertical="top" wrapText="1"/>
    </xf>
    <xf borderId="19" fillId="0" fontId="25" numFmtId="0" xfId="0" applyAlignment="1" applyBorder="1" applyFont="1">
      <alignment shrinkToFit="0" wrapText="1"/>
    </xf>
    <xf borderId="0" fillId="0" fontId="25" numFmtId="0" xfId="0" applyAlignment="1" applyFont="1">
      <alignment readingOrder="0"/>
    </xf>
    <xf borderId="0" fillId="0" fontId="25" numFmtId="0" xfId="0" applyFont="1"/>
    <xf borderId="18" fillId="0" fontId="34" numFmtId="0" xfId="0" applyAlignment="1" applyBorder="1" applyFont="1">
      <alignment horizontal="left" shrinkToFit="0" vertical="top" wrapText="1"/>
    </xf>
    <xf borderId="13" fillId="0" fontId="50" numFmtId="0" xfId="0" applyAlignment="1" applyBorder="1" applyFont="1">
      <alignment shrinkToFit="0" vertical="top" wrapText="1"/>
    </xf>
    <xf borderId="13" fillId="0" fontId="52" numFmtId="0" xfId="0" applyAlignment="1" applyBorder="1" applyFont="1">
      <alignment shrinkToFit="0" vertical="top" wrapText="1"/>
    </xf>
    <xf borderId="13" fillId="0" fontId="25" numFmtId="0" xfId="0" applyAlignment="1" applyBorder="1" applyFont="1">
      <alignment shrinkToFit="0" wrapText="1"/>
    </xf>
    <xf borderId="22" fillId="0" fontId="25" numFmtId="0" xfId="0" applyAlignment="1" applyBorder="1" applyFont="1">
      <alignment horizontal="left" shrinkToFit="0" vertical="top" wrapText="1"/>
    </xf>
    <xf borderId="18" fillId="0" fontId="50" numFmtId="0" xfId="0" applyAlignment="1" applyBorder="1" applyFont="1">
      <alignment shrinkToFit="0" vertical="top" wrapText="1"/>
    </xf>
    <xf borderId="22" fillId="0" fontId="25" numFmtId="0" xfId="0" applyAlignment="1" applyBorder="1" applyFont="1">
      <alignment horizontal="center" shrinkToFit="0" vertical="top" wrapText="1"/>
    </xf>
    <xf borderId="13" fillId="0" fontId="25" numFmtId="0" xfId="0" applyAlignment="1" applyBorder="1" applyFont="1">
      <alignment readingOrder="0" shrinkToFit="0" vertical="top" wrapText="1"/>
    </xf>
    <xf borderId="13" fillId="0" fontId="34" numFmtId="0" xfId="0" applyAlignment="1" applyBorder="1" applyFont="1">
      <alignment horizontal="left" shrinkToFit="0" vertical="top" wrapText="1"/>
    </xf>
    <xf borderId="13" fillId="3" fontId="50" numFmtId="0" xfId="0" applyAlignment="1" applyBorder="1" applyFill="1" applyFont="1">
      <alignment shrinkToFit="0" vertical="top" wrapText="1"/>
    </xf>
    <xf borderId="18" fillId="0" fontId="25" numFmtId="0" xfId="0" applyAlignment="1" applyBorder="1" applyFont="1">
      <alignment readingOrder="0" shrinkToFit="0" vertical="top" wrapText="1"/>
    </xf>
    <xf borderId="18" fillId="0" fontId="25" numFmtId="0" xfId="0" applyAlignment="1" applyBorder="1" applyFont="1">
      <alignment shrinkToFit="0" vertical="top" wrapText="1"/>
    </xf>
    <xf borderId="1" fillId="0" fontId="34" numFmtId="0" xfId="0" applyAlignment="1" applyBorder="1" applyFont="1">
      <alignment horizontal="left" shrinkToFit="0" vertical="top" wrapText="1"/>
    </xf>
    <xf borderId="10" fillId="0" fontId="50" numFmtId="0" xfId="0" applyAlignment="1" applyBorder="1" applyFont="1">
      <alignment shrinkToFit="0" vertical="top" wrapText="1"/>
    </xf>
    <xf borderId="13" fillId="0" fontId="53" numFmtId="0" xfId="0" applyAlignment="1" applyBorder="1" applyFont="1">
      <alignment shrinkToFit="0" vertical="top" wrapText="1"/>
    </xf>
    <xf borderId="13" fillId="0" fontId="54" numFmtId="0" xfId="0" applyAlignment="1" applyBorder="1" applyFont="1">
      <alignment shrinkToFit="0" vertical="top" wrapText="1"/>
    </xf>
    <xf borderId="13" fillId="0" fontId="25" numFmtId="0" xfId="0" applyAlignment="1" applyBorder="1" applyFont="1">
      <alignment horizontal="left" shrinkToFit="0" vertical="top" wrapText="1"/>
    </xf>
    <xf borderId="10" fillId="3" fontId="53" numFmtId="0" xfId="0" applyAlignment="1" applyBorder="1" applyFill="1" applyFont="1">
      <alignment shrinkToFit="0" vertical="top" wrapText="1"/>
    </xf>
    <xf borderId="10" fillId="3" fontId="50" numFmtId="0" xfId="0" applyAlignment="1" applyBorder="1" applyFill="1" applyFont="1">
      <alignment shrinkToFit="0" vertical="top" wrapText="1"/>
    </xf>
    <xf borderId="10" fillId="3" fontId="25" numFmtId="0" xfId="0" applyAlignment="1" applyBorder="1" applyFill="1" applyFont="1">
      <alignment horizontal="center" shrinkToFit="0" vertical="top" wrapText="1"/>
    </xf>
    <xf borderId="10" fillId="0" fontId="25" numFmtId="0" xfId="0" applyAlignment="1" applyBorder="1" applyFont="1">
      <alignment shrinkToFit="0" vertical="top" wrapText="1"/>
    </xf>
    <xf borderId="10" fillId="0" fontId="25" numFmtId="0" xfId="0" applyAlignment="1" applyBorder="1" applyFont="1">
      <alignment shrinkToFit="0" vertical="bottom" wrapText="1"/>
    </xf>
    <xf borderId="7" fillId="3" fontId="53" numFmtId="0" xfId="0" applyAlignment="1" applyBorder="1" applyFill="1" applyFont="1">
      <alignment shrinkToFit="0" vertical="top" wrapText="1"/>
    </xf>
    <xf borderId="7" fillId="3" fontId="50" numFmtId="0" xfId="0" applyAlignment="1" applyBorder="1" applyFill="1" applyFont="1">
      <alignment shrinkToFit="0" vertical="top" wrapText="1"/>
    </xf>
    <xf borderId="7" fillId="3" fontId="25" numFmtId="0" xfId="0" applyAlignment="1" applyBorder="1" applyFill="1" applyFont="1">
      <alignment horizontal="center" shrinkToFit="0" vertical="top" wrapText="1"/>
    </xf>
    <xf borderId="7" fillId="0" fontId="25" numFmtId="0" xfId="0" applyAlignment="1" applyBorder="1" applyFont="1">
      <alignment shrinkToFit="0" vertical="top" wrapText="1"/>
    </xf>
    <xf borderId="7" fillId="0" fontId="25" numFmtId="0" xfId="0" applyAlignment="1" applyBorder="1" applyFont="1">
      <alignment shrinkToFit="0" vertical="bottom" wrapText="1"/>
    </xf>
    <xf borderId="18" fillId="0" fontId="34" numFmtId="0" xfId="0" applyAlignment="1" applyBorder="1" applyFont="1">
      <alignment shrinkToFit="0" vertical="top" wrapText="1"/>
    </xf>
    <xf borderId="13" fillId="0" fontId="25" numFmtId="0" xfId="0" applyAlignment="1" applyBorder="1" applyFont="1">
      <alignment horizontal="center" shrinkToFit="0" vertical="top" wrapText="1"/>
    </xf>
    <xf borderId="13" fillId="0" fontId="25" numFmtId="0" xfId="0" applyAlignment="1" applyBorder="1" applyFont="1">
      <alignment shrinkToFit="0" vertical="bottom" wrapText="1"/>
    </xf>
    <xf borderId="13" fillId="3" fontId="25" numFmtId="0" xfId="0" applyAlignment="1" applyBorder="1" applyFill="1" applyFont="1">
      <alignment horizontal="left" shrinkToFit="0" vertical="top" wrapText="1"/>
    </xf>
    <xf borderId="3" fillId="3" fontId="34" numFmtId="0" xfId="0" applyAlignment="1" applyBorder="1" applyFill="1" applyFont="1">
      <alignment horizontal="left" shrinkToFit="0" vertical="top" wrapText="1"/>
    </xf>
    <xf borderId="10" fillId="3" fontId="25" numFmtId="0" xfId="0" applyAlignment="1" applyBorder="1" applyFill="1" applyFont="1">
      <alignment shrinkToFit="0" vertical="top" wrapText="1"/>
    </xf>
    <xf borderId="19" fillId="3" fontId="25" numFmtId="0" xfId="0" applyAlignment="1" applyBorder="1" applyFill="1" applyFont="1">
      <alignment horizontal="left" shrinkToFit="0" vertical="top" wrapText="1"/>
    </xf>
    <xf borderId="7" fillId="3" fontId="25" numFmtId="0" xfId="0" applyAlignment="1" applyBorder="1" applyFill="1" applyFont="1">
      <alignment shrinkToFit="0" vertical="top" wrapText="1"/>
    </xf>
    <xf borderId="0" fillId="0" fontId="15" numFmtId="0" xfId="0" applyAlignment="1" applyFont="1">
      <alignment horizontal="center"/>
    </xf>
  </cellXfs>
  <cellStyles count="1">
    <cellStyle xfId="0" name="Normal" builtinId="0"/>
  </cellStyles>
  <dxfs count="5">
    <dxf>
      <font>
        <color rgb="FF666666"/>
      </font>
      <fill>
        <patternFill patternType="solid">
          <fgColor rgb="FF666666"/>
          <bgColor rgb="FF666666"/>
        </patternFill>
      </fill>
      <border/>
    </dxf>
    <dxf>
      <font>
        <color rgb="FF000000"/>
      </font>
      <fill>
        <patternFill patternType="solid">
          <fgColor rgb="FFEFEFEF"/>
          <bgColor rgb="FFEFEFEF"/>
        </patternFill>
      </fill>
      <border/>
    </dxf>
    <dxf>
      <font>
        <color rgb="FF000000"/>
      </font>
      <fill>
        <patternFill patternType="solid">
          <fgColor rgb="FFFCE5CD"/>
          <bgColor rgb="FFFCE5CD"/>
        </patternFill>
      </fill>
      <border/>
    </dxf>
    <dxf>
      <font>
        <color theme="1"/>
      </font>
      <fill>
        <patternFill patternType="solid">
          <fgColor rgb="FFB7E1CD"/>
          <bgColor rgb="FFB7E1CD"/>
        </patternFill>
      </fill>
      <border/>
    </dxf>
    <dxf>
      <font>
        <color rgb="FF000000"/>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9575" cy="2381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ev.sun-asterisk.com/projects/abc/123" TargetMode="External"/><Relationship Id="rId3" Type="http://schemas.openxmlformats.org/officeDocument/2006/relationships/hyperlink" Target="https://dev.sun-asterisk.com/projects/abc/123" TargetMode="External"/><Relationship Id="rId4" Type="http://schemas.openxmlformats.org/officeDocument/2006/relationships/hyperlink" Target="https://dev.sun-asterisk.com/projects/abc/123" TargetMode="External"/><Relationship Id="rId11" Type="http://schemas.openxmlformats.org/officeDocument/2006/relationships/drawing" Target="../drawings/drawing2.xml"/><Relationship Id="rId10" Type="http://schemas.openxmlformats.org/officeDocument/2006/relationships/hyperlink" Target="https://dev.sun-asterisk.com/projects/abc/123" TargetMode="External"/><Relationship Id="rId12" Type="http://schemas.openxmlformats.org/officeDocument/2006/relationships/vmlDrawing" Target="../drawings/vmlDrawing1.vml"/><Relationship Id="rId9" Type="http://schemas.openxmlformats.org/officeDocument/2006/relationships/hyperlink" Target="https://dev.sun-asterisk.com/projects/abc/123" TargetMode="External"/><Relationship Id="rId5" Type="http://schemas.openxmlformats.org/officeDocument/2006/relationships/hyperlink" Target="https://dev.sun-asterisk.com/projects/abc/123" TargetMode="External"/><Relationship Id="rId6" Type="http://schemas.openxmlformats.org/officeDocument/2006/relationships/hyperlink" Target="https://dev.sun-asterisk.com/projects/abc/123" TargetMode="External"/><Relationship Id="rId7" Type="http://schemas.openxmlformats.org/officeDocument/2006/relationships/hyperlink" Target="https://dev.sun-asterisk.com/projects/abc/123" TargetMode="External"/><Relationship Id="rId8" Type="http://schemas.openxmlformats.org/officeDocument/2006/relationships/hyperlink" Target="https://dev.sun-asterisk.com/projects/abc/12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al.vn/6zNgDb"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aws.amazon.com/cost-management/latest/userguide/budgets-create.html" TargetMode="External"/><Relationship Id="rId2" Type="http://schemas.openxmlformats.org/officeDocument/2006/relationships/hyperlink" Target="https://docs.aws.amazon.com/ebs/latest/userguide/ebs-encryption.html" TargetMode="External"/><Relationship Id="rId3" Type="http://schemas.openxmlformats.org/officeDocument/2006/relationships/hyperlink" Target="https://docs.aws.amazon.com/AmazonElastiCache/latest/red-ug/at-rest-encryption.html" TargetMode="External"/><Relationship Id="rId4" Type="http://schemas.openxmlformats.org/officeDocument/2006/relationships/hyperlink" Target="https://docs.aws.amazon.com/opensearch-service/latest/developerguide/encryption-at-rest.html" TargetMode="External"/><Relationship Id="rId11" Type="http://schemas.openxmlformats.org/officeDocument/2006/relationships/drawing" Target="../drawings/drawing6.xml"/><Relationship Id="rId10" Type="http://schemas.openxmlformats.org/officeDocument/2006/relationships/hyperlink" Target="https://docs.aws.amazon.com/guardduty/latest/ug/what-is-guardduty.html" TargetMode="External"/><Relationship Id="rId9" Type="http://schemas.openxmlformats.org/officeDocument/2006/relationships/hyperlink" Target="https://docs.aws.amazon.com/config/latest/developerguide/WhatIsConfig.html" TargetMode="External"/><Relationship Id="rId5" Type="http://schemas.openxmlformats.org/officeDocument/2006/relationships/hyperlink" Target="https://docs.aws.amazon.com/elasticloadbalancing/latest/application/create-https-listener.html" TargetMode="External"/><Relationship Id="rId6" Type="http://schemas.openxmlformats.org/officeDocument/2006/relationships/hyperlink" Target="https://docs.aws.amazon.com/vpc/latest/userguide/vpc-network-acls.html" TargetMode="External"/><Relationship Id="rId7" Type="http://schemas.openxmlformats.org/officeDocument/2006/relationships/hyperlink" Target="https://docs.aws.amazon.com/awssupport/latest/user/trusted-advisor.html" TargetMode="External"/><Relationship Id="rId8" Type="http://schemas.openxmlformats.org/officeDocument/2006/relationships/hyperlink" Target="https://docs.aws.amazon.com/securityhub/latest/userguide/what-is-securityhub.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7.75"/>
    <col customWidth="1" min="5" max="9" width="9.75"/>
    <col customWidth="1" min="10" max="10" width="13.75"/>
    <col customWidth="1" min="11" max="11" width="19.88"/>
  </cols>
  <sheetData>
    <row r="1" ht="22.5" customHeight="1">
      <c r="A1" s="1"/>
      <c r="B1" s="2"/>
      <c r="C1" s="2"/>
      <c r="D1" s="2"/>
      <c r="E1" s="3" t="s">
        <v>0</v>
      </c>
      <c r="F1" s="2"/>
      <c r="G1" s="2"/>
      <c r="H1" s="2"/>
      <c r="I1" s="2"/>
      <c r="J1" s="4" t="s">
        <v>1</v>
      </c>
      <c r="K1" s="5"/>
    </row>
    <row r="2" ht="22.5" customHeight="1">
      <c r="A2" s="6"/>
      <c r="E2" s="6"/>
      <c r="J2" s="7" t="s">
        <v>2</v>
      </c>
      <c r="K2" s="8"/>
    </row>
    <row r="3" ht="22.5" customHeight="1">
      <c r="A3" s="6"/>
      <c r="E3" s="6"/>
      <c r="J3" s="9" t="s">
        <v>3</v>
      </c>
      <c r="K3" s="10"/>
    </row>
    <row r="4" ht="22.5" customHeight="1">
      <c r="A4" s="11" t="s">
        <v>4</v>
      </c>
      <c r="B4" s="12"/>
      <c r="C4" s="12"/>
      <c r="D4" s="12"/>
      <c r="E4" s="12"/>
      <c r="F4" s="12"/>
      <c r="G4" s="12"/>
      <c r="H4" s="12"/>
      <c r="I4" s="13"/>
      <c r="J4" s="14" t="s">
        <v>5</v>
      </c>
      <c r="K4" s="10"/>
    </row>
    <row r="5" ht="16.5" customHeight="1">
      <c r="A5" s="15"/>
      <c r="K5" s="16"/>
    </row>
    <row r="6" ht="31.5" customHeight="1">
      <c r="A6" s="17" t="s">
        <v>6</v>
      </c>
      <c r="K6" s="16"/>
    </row>
    <row r="7" ht="20.25" customHeight="1">
      <c r="A7" s="18" t="s">
        <v>7</v>
      </c>
      <c r="B7" s="19" t="s">
        <v>8</v>
      </c>
      <c r="C7" s="12"/>
      <c r="D7" s="13"/>
      <c r="E7" s="19" t="s">
        <v>9</v>
      </c>
      <c r="F7" s="12"/>
      <c r="G7" s="12"/>
      <c r="H7" s="12"/>
      <c r="I7" s="13"/>
      <c r="J7" s="19" t="s">
        <v>10</v>
      </c>
      <c r="K7" s="13"/>
    </row>
    <row r="8" ht="22.5" customHeight="1">
      <c r="A8" s="20">
        <v>1.0</v>
      </c>
      <c r="B8" s="21"/>
      <c r="C8" s="12"/>
      <c r="D8" s="13"/>
      <c r="E8" s="21" t="s">
        <v>11</v>
      </c>
      <c r="F8" s="12"/>
      <c r="G8" s="12"/>
      <c r="H8" s="12"/>
      <c r="I8" s="13"/>
      <c r="J8" s="22">
        <v>44442.0</v>
      </c>
      <c r="K8" s="13"/>
    </row>
    <row r="9">
      <c r="A9" s="23">
        <v>2.0</v>
      </c>
      <c r="B9" s="24" t="s">
        <v>12</v>
      </c>
      <c r="C9" s="12"/>
      <c r="D9" s="13"/>
      <c r="E9" s="24" t="s">
        <v>13</v>
      </c>
      <c r="F9" s="12"/>
      <c r="G9" s="12"/>
      <c r="H9" s="12"/>
      <c r="I9" s="13"/>
      <c r="J9" s="21" t="s">
        <v>14</v>
      </c>
      <c r="K9" s="13"/>
    </row>
    <row r="10">
      <c r="A10" s="20">
        <v>3.0</v>
      </c>
      <c r="B10" s="25" t="s">
        <v>15</v>
      </c>
      <c r="C10" s="2"/>
      <c r="D10" s="5"/>
      <c r="E10" s="25" t="s">
        <v>16</v>
      </c>
      <c r="F10" s="2"/>
      <c r="G10" s="2"/>
      <c r="H10" s="2"/>
      <c r="I10" s="5"/>
      <c r="J10" s="21" t="s">
        <v>17</v>
      </c>
      <c r="K10" s="13"/>
    </row>
    <row r="11" ht="73.5" customHeight="1">
      <c r="A11" s="23">
        <v>4.0</v>
      </c>
      <c r="B11" s="25" t="s">
        <v>18</v>
      </c>
      <c r="C11" s="2"/>
      <c r="D11" s="5"/>
      <c r="E11" s="25" t="s">
        <v>19</v>
      </c>
      <c r="F11" s="2"/>
      <c r="G11" s="2"/>
      <c r="H11" s="2"/>
      <c r="I11" s="5"/>
      <c r="J11" s="22">
        <v>45717.0</v>
      </c>
      <c r="K11" s="13"/>
    </row>
    <row r="12" ht="73.5" customHeight="1">
      <c r="A12" s="26" t="s">
        <v>20</v>
      </c>
      <c r="B12" s="27" t="s">
        <v>21</v>
      </c>
      <c r="C12" s="2"/>
      <c r="D12" s="5"/>
      <c r="E12" s="25" t="s">
        <v>22</v>
      </c>
      <c r="F12" s="2"/>
      <c r="G12" s="2"/>
      <c r="H12" s="2"/>
      <c r="I12" s="5"/>
      <c r="J12" s="21" t="s">
        <v>23</v>
      </c>
      <c r="K12" s="13"/>
    </row>
    <row r="13" ht="22.5" customHeight="1">
      <c r="A13" s="28"/>
      <c r="B13" s="29"/>
      <c r="C13" s="12"/>
      <c r="D13" s="13"/>
      <c r="E13" s="30"/>
      <c r="F13" s="12"/>
      <c r="G13" s="12"/>
      <c r="H13" s="12"/>
      <c r="I13" s="13"/>
      <c r="J13" s="21"/>
      <c r="K13" s="13"/>
    </row>
    <row r="14" ht="22.5" customHeight="1">
      <c r="A14" s="31"/>
      <c r="B14" s="32"/>
      <c r="C14" s="12"/>
      <c r="D14" s="13"/>
      <c r="E14" s="33"/>
      <c r="F14" s="12"/>
      <c r="G14" s="12"/>
      <c r="H14" s="12"/>
      <c r="I14" s="13"/>
      <c r="J14" s="21"/>
      <c r="K14" s="13"/>
    </row>
    <row r="15" ht="22.5" customHeight="1">
      <c r="A15" s="34"/>
      <c r="B15" s="35"/>
      <c r="C15" s="35"/>
      <c r="D15" s="35"/>
      <c r="E15" s="35"/>
      <c r="F15" s="35"/>
      <c r="G15" s="35"/>
      <c r="H15" s="35"/>
      <c r="I15" s="35"/>
      <c r="J15" s="35"/>
      <c r="K15" s="36"/>
    </row>
    <row r="16" ht="22.5" customHeight="1">
      <c r="A16" s="34"/>
      <c r="B16" s="35"/>
      <c r="C16" s="35"/>
      <c r="D16" s="35"/>
      <c r="E16" s="35"/>
      <c r="F16" s="35"/>
      <c r="G16" s="35"/>
      <c r="H16" s="35"/>
      <c r="I16" s="35"/>
      <c r="J16" s="35"/>
      <c r="K16" s="36"/>
    </row>
    <row r="17" ht="22.5" customHeight="1">
      <c r="A17" s="34"/>
      <c r="B17" s="35"/>
      <c r="C17" s="35"/>
      <c r="D17" s="35"/>
      <c r="E17" s="35"/>
      <c r="F17" s="35"/>
      <c r="G17" s="35"/>
      <c r="H17" s="35"/>
      <c r="I17" s="35"/>
      <c r="J17" s="35"/>
      <c r="K17" s="36"/>
    </row>
    <row r="18" ht="22.5" customHeight="1">
      <c r="A18" s="34"/>
      <c r="B18" s="35"/>
      <c r="C18" s="35"/>
      <c r="D18" s="35"/>
      <c r="E18" s="35"/>
      <c r="F18" s="35"/>
      <c r="G18" s="35"/>
      <c r="H18" s="35"/>
      <c r="I18" s="35"/>
      <c r="J18" s="35"/>
      <c r="K18" s="36"/>
    </row>
    <row r="19" ht="22.5" customHeight="1">
      <c r="A19" s="34"/>
      <c r="B19" s="35"/>
      <c r="C19" s="35"/>
      <c r="D19" s="35"/>
      <c r="E19" s="35"/>
      <c r="F19" s="35"/>
      <c r="G19" s="35"/>
      <c r="H19" s="35"/>
      <c r="I19" s="35"/>
      <c r="J19" s="35"/>
      <c r="K19" s="36"/>
    </row>
    <row r="20" ht="22.5" customHeight="1">
      <c r="A20" s="34"/>
      <c r="B20" s="35"/>
      <c r="C20" s="35"/>
      <c r="D20" s="35"/>
      <c r="E20" s="35"/>
      <c r="F20" s="35"/>
      <c r="G20" s="35"/>
      <c r="H20" s="35"/>
      <c r="I20" s="35"/>
      <c r="J20" s="35"/>
      <c r="K20" s="36"/>
    </row>
    <row r="21" ht="22.5" customHeight="1">
      <c r="A21" s="34"/>
      <c r="B21" s="35"/>
      <c r="C21" s="35"/>
      <c r="D21" s="35"/>
      <c r="E21" s="35"/>
      <c r="F21" s="35"/>
      <c r="G21" s="35"/>
      <c r="H21" s="35"/>
      <c r="I21" s="35"/>
      <c r="J21" s="35"/>
      <c r="K21" s="36"/>
    </row>
    <row r="22" ht="22.5" customHeight="1">
      <c r="A22" s="37"/>
      <c r="B22" s="38"/>
      <c r="C22" s="38"/>
      <c r="D22" s="38"/>
      <c r="E22" s="38"/>
      <c r="F22" s="38"/>
      <c r="G22" s="38"/>
      <c r="H22" s="38"/>
      <c r="I22" s="38"/>
      <c r="J22" s="38"/>
      <c r="K22" s="39"/>
    </row>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 customWidth="1" min="2" max="2" width="29.75"/>
    <col customWidth="1" min="3" max="3" width="15.75"/>
    <col customWidth="1" min="4" max="4" width="51.5"/>
    <col customWidth="1" min="5" max="5" width="12.63"/>
    <col customWidth="1" min="6" max="6" width="22.25"/>
    <col customWidth="1" min="7" max="7" width="16.75"/>
  </cols>
  <sheetData>
    <row r="1">
      <c r="A1" s="40"/>
      <c r="B1" s="5"/>
      <c r="C1" s="41" t="s">
        <v>0</v>
      </c>
      <c r="D1" s="2"/>
      <c r="E1" s="5"/>
      <c r="F1" s="42" t="s">
        <v>1</v>
      </c>
      <c r="G1" s="13"/>
      <c r="H1" s="43"/>
    </row>
    <row r="2">
      <c r="A2" s="6"/>
      <c r="B2" s="8"/>
      <c r="C2" s="6"/>
      <c r="E2" s="8"/>
      <c r="F2" s="44" t="s">
        <v>2</v>
      </c>
      <c r="G2" s="13"/>
      <c r="H2" s="43"/>
    </row>
    <row r="3">
      <c r="A3" s="45"/>
      <c r="B3" s="10"/>
      <c r="C3" s="45"/>
      <c r="D3" s="46"/>
      <c r="E3" s="10"/>
      <c r="F3" s="44" t="s">
        <v>3</v>
      </c>
      <c r="G3" s="13"/>
      <c r="H3" s="43"/>
    </row>
    <row r="4">
      <c r="A4" s="47" t="s">
        <v>4</v>
      </c>
      <c r="B4" s="12"/>
      <c r="C4" s="12"/>
      <c r="D4" s="12"/>
      <c r="E4" s="13"/>
      <c r="F4" s="48" t="s">
        <v>5</v>
      </c>
      <c r="G4" s="13"/>
      <c r="H4" s="43"/>
    </row>
    <row r="5">
      <c r="A5" s="49"/>
      <c r="B5" s="49"/>
      <c r="C5" s="49"/>
      <c r="D5" s="49"/>
      <c r="E5" s="49"/>
      <c r="F5" s="49"/>
      <c r="G5" s="49"/>
      <c r="H5" s="43"/>
    </row>
    <row r="6">
      <c r="A6" s="50" t="s">
        <v>24</v>
      </c>
      <c r="B6" s="51"/>
      <c r="C6" s="51"/>
      <c r="D6" s="51"/>
      <c r="E6" s="51"/>
      <c r="F6" s="51"/>
      <c r="G6" s="51"/>
      <c r="H6" s="43"/>
    </row>
    <row r="7">
      <c r="A7" s="52" t="s">
        <v>25</v>
      </c>
      <c r="B7" s="53"/>
      <c r="C7" s="54">
        <v>44091.0</v>
      </c>
      <c r="D7" s="51"/>
      <c r="E7" s="51"/>
      <c r="F7" s="51"/>
      <c r="G7" s="51"/>
      <c r="H7" s="43"/>
    </row>
    <row r="8">
      <c r="A8" s="55"/>
      <c r="B8" s="55"/>
      <c r="C8" s="55"/>
      <c r="D8" s="51"/>
      <c r="E8" s="51"/>
      <c r="F8" s="51"/>
      <c r="G8" s="51"/>
      <c r="H8" s="43"/>
    </row>
    <row r="9">
      <c r="A9" s="56" t="s">
        <v>26</v>
      </c>
      <c r="B9" s="13"/>
      <c r="C9" s="57" t="s">
        <v>27</v>
      </c>
      <c r="D9" s="51"/>
      <c r="E9" s="51"/>
      <c r="F9" s="51"/>
      <c r="G9" s="51"/>
      <c r="H9" s="43"/>
    </row>
    <row r="10">
      <c r="A10" s="56" t="s">
        <v>28</v>
      </c>
      <c r="B10" s="13"/>
      <c r="C10" s="58" t="s">
        <v>29</v>
      </c>
      <c r="D10" s="51"/>
      <c r="E10" s="51"/>
      <c r="F10" s="51"/>
      <c r="G10" s="51"/>
      <c r="H10" s="43"/>
    </row>
    <row r="11">
      <c r="A11" s="56" t="s">
        <v>30</v>
      </c>
      <c r="B11" s="13"/>
      <c r="C11" s="58" t="s">
        <v>31</v>
      </c>
      <c r="D11" s="51"/>
      <c r="E11" s="51"/>
      <c r="F11" s="51"/>
      <c r="G11" s="51"/>
      <c r="H11" s="43"/>
    </row>
    <row r="12">
      <c r="D12" s="51"/>
      <c r="E12" s="51"/>
      <c r="F12" s="51"/>
      <c r="G12" s="51"/>
      <c r="H12" s="43"/>
    </row>
    <row r="13">
      <c r="A13" s="59" t="s">
        <v>32</v>
      </c>
      <c r="B13" s="13"/>
      <c r="C13" s="60" t="s">
        <v>33</v>
      </c>
      <c r="D13" s="61" t="s">
        <v>34</v>
      </c>
      <c r="E13" s="62" t="s">
        <v>35</v>
      </c>
      <c r="G13" s="51"/>
      <c r="H13" s="43"/>
    </row>
    <row r="14">
      <c r="A14" s="56" t="s">
        <v>36</v>
      </c>
      <c r="B14" s="13"/>
      <c r="C14" s="63" t="s">
        <v>37</v>
      </c>
      <c r="D14" s="64"/>
      <c r="E14" s="64"/>
      <c r="G14" s="51"/>
      <c r="H14" s="43"/>
    </row>
    <row r="15">
      <c r="A15" s="51"/>
      <c r="B15" s="51"/>
      <c r="C15" s="51"/>
      <c r="D15" s="51"/>
      <c r="E15" s="51"/>
      <c r="F15" s="51"/>
      <c r="G15" s="51"/>
      <c r="H15" s="43"/>
    </row>
    <row r="16">
      <c r="A16" s="52" t="s">
        <v>38</v>
      </c>
      <c r="B16" s="65"/>
      <c r="C16" s="65"/>
      <c r="D16" s="51"/>
      <c r="E16" s="51"/>
      <c r="F16" s="51"/>
      <c r="G16" s="51"/>
      <c r="H16" s="43"/>
    </row>
    <row r="17">
      <c r="A17" s="66" t="s">
        <v>39</v>
      </c>
      <c r="B17" s="13"/>
      <c r="C17" s="67" t="s">
        <v>40</v>
      </c>
      <c r="D17" s="66" t="s">
        <v>41</v>
      </c>
      <c r="E17" s="12"/>
      <c r="F17" s="13"/>
      <c r="G17" s="67" t="s">
        <v>42</v>
      </c>
      <c r="H17" s="43"/>
    </row>
    <row r="18">
      <c r="A18" s="68" t="s">
        <v>43</v>
      </c>
      <c r="B18" s="13"/>
      <c r="C18" s="69" t="s">
        <v>44</v>
      </c>
      <c r="D18" s="68" t="s">
        <v>45</v>
      </c>
      <c r="E18" s="12"/>
      <c r="F18" s="13"/>
      <c r="G18" s="69" t="b">
        <v>0</v>
      </c>
      <c r="H18" s="43"/>
    </row>
    <row r="19">
      <c r="A19" s="68" t="s">
        <v>46</v>
      </c>
      <c r="B19" s="13"/>
      <c r="C19" s="69" t="s">
        <v>44</v>
      </c>
      <c r="D19" s="68" t="s">
        <v>47</v>
      </c>
      <c r="E19" s="12"/>
      <c r="F19" s="13"/>
      <c r="G19" s="69" t="b">
        <v>0</v>
      </c>
      <c r="H19" s="43"/>
    </row>
    <row r="20">
      <c r="A20" s="68" t="s">
        <v>48</v>
      </c>
      <c r="B20" s="13"/>
      <c r="C20" s="69" t="s">
        <v>49</v>
      </c>
      <c r="D20" s="68" t="s">
        <v>50</v>
      </c>
      <c r="E20" s="12"/>
      <c r="F20" s="13"/>
      <c r="G20" s="70" t="b">
        <v>0</v>
      </c>
      <c r="H20" s="43"/>
    </row>
    <row r="21">
      <c r="A21" s="68" t="s">
        <v>51</v>
      </c>
      <c r="B21" s="13"/>
      <c r="C21" s="69" t="s">
        <v>44</v>
      </c>
      <c r="D21" s="68" t="s">
        <v>52</v>
      </c>
      <c r="E21" s="12"/>
      <c r="F21" s="13"/>
      <c r="G21" s="70" t="b">
        <v>0</v>
      </c>
      <c r="H21" s="43"/>
    </row>
    <row r="22">
      <c r="A22" s="68" t="s">
        <v>53</v>
      </c>
      <c r="B22" s="13"/>
      <c r="C22" s="69" t="s">
        <v>49</v>
      </c>
      <c r="D22" s="68" t="s">
        <v>54</v>
      </c>
      <c r="E22" s="12"/>
      <c r="F22" s="13"/>
      <c r="G22" s="70" t="b">
        <v>0</v>
      </c>
      <c r="H22" s="43"/>
    </row>
    <row r="23">
      <c r="A23" s="68" t="s">
        <v>55</v>
      </c>
      <c r="B23" s="13"/>
      <c r="C23" s="69"/>
      <c r="D23" s="68"/>
      <c r="E23" s="12"/>
      <c r="F23" s="13"/>
      <c r="G23" s="70" t="b">
        <v>0</v>
      </c>
      <c r="H23" s="43"/>
    </row>
    <row r="24">
      <c r="A24" s="52" t="s">
        <v>56</v>
      </c>
    </row>
    <row r="25">
      <c r="A25" s="51"/>
      <c r="B25" s="51"/>
      <c r="C25" s="51"/>
      <c r="D25" s="51"/>
      <c r="E25" s="51"/>
      <c r="F25" s="51"/>
      <c r="G25" s="51"/>
      <c r="H25" s="43"/>
    </row>
    <row r="26">
      <c r="A26" s="66" t="s">
        <v>57</v>
      </c>
      <c r="B26" s="13"/>
      <c r="C26" s="66" t="s">
        <v>58</v>
      </c>
      <c r="D26" s="13"/>
      <c r="E26" s="66" t="s">
        <v>59</v>
      </c>
      <c r="F26" s="13"/>
      <c r="G26" s="71" t="s">
        <v>60</v>
      </c>
    </row>
    <row r="27">
      <c r="A27" s="72" t="s">
        <v>61</v>
      </c>
      <c r="B27" s="13"/>
      <c r="C27" s="73" t="s">
        <v>62</v>
      </c>
      <c r="D27" s="13"/>
      <c r="E27" s="74" t="s">
        <v>63</v>
      </c>
      <c r="F27" s="13"/>
      <c r="G27" s="75" t="b">
        <v>0</v>
      </c>
    </row>
    <row r="28">
      <c r="A28" s="72" t="s">
        <v>64</v>
      </c>
      <c r="B28" s="13"/>
      <c r="C28" s="76" t="s">
        <v>62</v>
      </c>
      <c r="D28" s="13"/>
      <c r="E28" s="74" t="s">
        <v>63</v>
      </c>
      <c r="F28" s="13"/>
      <c r="G28" s="75" t="b">
        <v>0</v>
      </c>
    </row>
    <row r="29">
      <c r="A29" s="72" t="s">
        <v>65</v>
      </c>
      <c r="B29" s="13"/>
      <c r="C29" s="76" t="s">
        <v>62</v>
      </c>
      <c r="D29" s="13"/>
      <c r="E29" s="74" t="s">
        <v>63</v>
      </c>
      <c r="F29" s="13"/>
      <c r="G29" s="75" t="b">
        <v>0</v>
      </c>
    </row>
    <row r="30">
      <c r="A30" s="72" t="s">
        <v>66</v>
      </c>
      <c r="B30" s="13"/>
      <c r="C30" s="76" t="s">
        <v>62</v>
      </c>
      <c r="D30" s="13"/>
      <c r="E30" s="74" t="s">
        <v>63</v>
      </c>
      <c r="F30" s="13"/>
      <c r="G30" s="75" t="b">
        <v>0</v>
      </c>
    </row>
    <row r="31">
      <c r="A31" s="72" t="s">
        <v>67</v>
      </c>
      <c r="B31" s="13"/>
      <c r="C31" s="77" t="s">
        <v>62</v>
      </c>
      <c r="D31" s="13"/>
      <c r="E31" s="74" t="s">
        <v>63</v>
      </c>
      <c r="F31" s="13"/>
      <c r="G31" s="75" t="b">
        <v>0</v>
      </c>
    </row>
    <row r="32">
      <c r="A32" s="72" t="s">
        <v>68</v>
      </c>
      <c r="B32" s="13"/>
      <c r="C32" s="77" t="s">
        <v>69</v>
      </c>
      <c r="D32" s="13"/>
      <c r="E32" s="74"/>
      <c r="F32" s="13"/>
      <c r="G32" s="75" t="b">
        <v>0</v>
      </c>
    </row>
    <row r="33">
      <c r="A33" s="51"/>
      <c r="B33" s="51"/>
      <c r="C33" s="51"/>
      <c r="D33" s="51"/>
      <c r="E33" s="51"/>
      <c r="F33" s="51"/>
      <c r="G33" s="51"/>
      <c r="H33" s="43"/>
    </row>
    <row r="34">
      <c r="A34" s="52" t="s">
        <v>70</v>
      </c>
    </row>
    <row r="35">
      <c r="A35" s="78" t="s">
        <v>71</v>
      </c>
      <c r="B35" s="13"/>
      <c r="C35" s="79" t="s">
        <v>72</v>
      </c>
      <c r="D35" s="13"/>
      <c r="E35" s="43"/>
      <c r="F35" s="43"/>
      <c r="G35" s="43"/>
      <c r="H35" s="43"/>
    </row>
    <row r="36">
      <c r="A36" s="80" t="s">
        <v>73</v>
      </c>
      <c r="B36" s="13"/>
      <c r="C36" s="81" t="s">
        <v>74</v>
      </c>
      <c r="D36" s="13"/>
      <c r="E36" s="43"/>
      <c r="F36" s="43"/>
      <c r="G36" s="43"/>
      <c r="H36" s="43"/>
    </row>
    <row r="37">
      <c r="A37" s="80" t="s">
        <v>75</v>
      </c>
      <c r="B37" s="13"/>
      <c r="C37" s="74" t="b">
        <v>0</v>
      </c>
      <c r="D37" s="13"/>
      <c r="E37" s="43"/>
      <c r="F37" s="43"/>
      <c r="G37" s="43"/>
      <c r="H37" s="82"/>
    </row>
    <row r="38">
      <c r="A38" s="51"/>
      <c r="B38" s="51"/>
      <c r="C38" s="51"/>
      <c r="D38" s="51"/>
      <c r="E38" s="51"/>
      <c r="F38" s="51"/>
      <c r="G38" s="51"/>
      <c r="H38" s="43"/>
    </row>
    <row r="39">
      <c r="A39" s="52" t="s">
        <v>76</v>
      </c>
    </row>
    <row r="40">
      <c r="A40" s="80" t="s">
        <v>77</v>
      </c>
      <c r="B40" s="13"/>
      <c r="C40" s="79"/>
      <c r="D40" s="13"/>
      <c r="E40" s="43"/>
      <c r="F40" s="43"/>
      <c r="G40" s="43"/>
      <c r="H40" s="43"/>
    </row>
    <row r="41">
      <c r="A41" s="80" t="s">
        <v>73</v>
      </c>
      <c r="B41" s="13"/>
      <c r="C41" s="83" t="s">
        <v>62</v>
      </c>
      <c r="D41" s="13"/>
      <c r="E41" s="43"/>
      <c r="F41" s="43"/>
      <c r="G41" s="43"/>
      <c r="H41" s="43"/>
    </row>
    <row r="42">
      <c r="A42" s="80" t="s">
        <v>75</v>
      </c>
      <c r="B42" s="13"/>
      <c r="C42" s="74" t="b">
        <v>1</v>
      </c>
      <c r="D42" s="13"/>
      <c r="E42" s="43"/>
      <c r="F42" s="43"/>
      <c r="G42" s="43"/>
      <c r="H42" s="43"/>
    </row>
    <row r="43">
      <c r="A43" s="51"/>
      <c r="B43" s="51"/>
      <c r="C43" s="51"/>
      <c r="D43" s="51"/>
      <c r="E43" s="51"/>
      <c r="F43" s="51"/>
      <c r="G43" s="51"/>
      <c r="H43" s="43"/>
    </row>
    <row r="44">
      <c r="A44" s="52" t="s">
        <v>78</v>
      </c>
      <c r="D44" s="84"/>
      <c r="E44" s="51"/>
      <c r="F44" s="51"/>
      <c r="G44" s="51"/>
      <c r="H44" s="43"/>
    </row>
    <row r="45">
      <c r="A45" s="66" t="s">
        <v>79</v>
      </c>
      <c r="B45" s="13"/>
      <c r="C45" s="66" t="s">
        <v>58</v>
      </c>
      <c r="D45" s="13"/>
      <c r="E45" s="51"/>
      <c r="F45" s="51"/>
      <c r="G45" s="51"/>
      <c r="H45" s="43"/>
    </row>
    <row r="46">
      <c r="A46" s="72" t="s">
        <v>80</v>
      </c>
      <c r="B46" s="13"/>
      <c r="C46" s="83" t="s">
        <v>62</v>
      </c>
      <c r="D46" s="13"/>
      <c r="E46" s="51"/>
      <c r="F46" s="51"/>
      <c r="G46" s="51"/>
      <c r="H46" s="43"/>
    </row>
    <row r="47">
      <c r="A47" s="72" t="s">
        <v>81</v>
      </c>
      <c r="B47" s="13"/>
      <c r="C47" s="83" t="s">
        <v>62</v>
      </c>
      <c r="D47" s="13"/>
      <c r="E47" s="51"/>
      <c r="F47" s="51"/>
      <c r="G47" s="51"/>
      <c r="H47" s="43"/>
    </row>
    <row r="48">
      <c r="A48" s="72" t="s">
        <v>82</v>
      </c>
      <c r="B48" s="13"/>
      <c r="C48" s="83" t="s">
        <v>62</v>
      </c>
      <c r="D48" s="13"/>
      <c r="E48" s="85"/>
      <c r="F48" s="85"/>
      <c r="G48" s="51"/>
      <c r="H48" s="43"/>
    </row>
    <row r="49">
      <c r="A49" s="86"/>
      <c r="B49" s="51"/>
      <c r="C49" s="51"/>
      <c r="D49" s="51"/>
      <c r="E49" s="51"/>
      <c r="F49" s="51"/>
      <c r="G49" s="51"/>
      <c r="H49" s="43"/>
    </row>
    <row r="50">
      <c r="A50" s="52" t="s">
        <v>83</v>
      </c>
      <c r="D50" s="87"/>
      <c r="H50" s="88"/>
    </row>
    <row r="51">
      <c r="A51" s="67" t="s">
        <v>84</v>
      </c>
      <c r="B51" s="66" t="s">
        <v>79</v>
      </c>
      <c r="C51" s="12"/>
      <c r="D51" s="13"/>
      <c r="H51" s="88"/>
    </row>
    <row r="52">
      <c r="A52" s="89">
        <v>1.0</v>
      </c>
      <c r="B52" s="72" t="s">
        <v>85</v>
      </c>
      <c r="C52" s="12"/>
      <c r="D52" s="13"/>
      <c r="H52" s="88"/>
    </row>
    <row r="53">
      <c r="A53" s="89" t="s">
        <v>82</v>
      </c>
      <c r="B53" s="72" t="s">
        <v>86</v>
      </c>
      <c r="C53" s="12"/>
      <c r="D53" s="13"/>
      <c r="H53" s="88"/>
    </row>
    <row r="54">
      <c r="A54" s="52"/>
      <c r="D54" s="90"/>
      <c r="H54" s="88"/>
    </row>
    <row r="55">
      <c r="A55" s="52" t="s">
        <v>87</v>
      </c>
      <c r="D55" s="90"/>
      <c r="H55" s="88"/>
    </row>
    <row r="56">
      <c r="A56" s="67" t="s">
        <v>84</v>
      </c>
      <c r="B56" s="66" t="s">
        <v>88</v>
      </c>
      <c r="C56" s="12"/>
      <c r="D56" s="13"/>
      <c r="E56" s="71" t="s">
        <v>42</v>
      </c>
      <c r="H56" s="88"/>
    </row>
    <row r="57">
      <c r="A57" s="91">
        <v>1.0</v>
      </c>
      <c r="B57" s="68" t="s">
        <v>89</v>
      </c>
      <c r="C57" s="12"/>
      <c r="D57" s="13"/>
      <c r="E57" s="92" t="b">
        <v>0</v>
      </c>
      <c r="H57" s="88"/>
    </row>
    <row r="58">
      <c r="A58" s="91">
        <v>2.0</v>
      </c>
      <c r="B58" s="68" t="s">
        <v>90</v>
      </c>
      <c r="C58" s="12"/>
      <c r="D58" s="13"/>
      <c r="E58" s="92" t="b">
        <v>0</v>
      </c>
      <c r="H58" s="88"/>
    </row>
    <row r="59">
      <c r="A59" s="91">
        <v>3.0</v>
      </c>
      <c r="B59" s="68" t="s">
        <v>91</v>
      </c>
      <c r="C59" s="12"/>
      <c r="D59" s="13"/>
      <c r="E59" s="92" t="b">
        <v>0</v>
      </c>
      <c r="H59" s="88"/>
    </row>
    <row r="60">
      <c r="A60" s="91" t="s">
        <v>69</v>
      </c>
      <c r="B60" s="68" t="s">
        <v>92</v>
      </c>
      <c r="C60" s="12"/>
      <c r="D60" s="13"/>
      <c r="E60" s="92" t="b">
        <v>0</v>
      </c>
      <c r="H60" s="88"/>
    </row>
    <row r="61">
      <c r="H61" s="88"/>
    </row>
    <row r="62">
      <c r="A62" s="52" t="s">
        <v>93</v>
      </c>
      <c r="H62" s="88"/>
    </row>
    <row r="63">
      <c r="A63" s="66" t="s">
        <v>94</v>
      </c>
      <c r="B63" s="13"/>
      <c r="C63" s="66" t="s">
        <v>95</v>
      </c>
      <c r="D63" s="13"/>
      <c r="E63" s="71" t="s">
        <v>42</v>
      </c>
      <c r="G63" s="93"/>
      <c r="H63" s="88"/>
    </row>
    <row r="64">
      <c r="A64" s="94" t="s">
        <v>49</v>
      </c>
      <c r="B64" s="13"/>
      <c r="C64" s="94" t="s">
        <v>96</v>
      </c>
      <c r="D64" s="13"/>
      <c r="E64" s="92" t="b">
        <v>0</v>
      </c>
      <c r="G64" s="95"/>
      <c r="H64" s="88"/>
    </row>
    <row r="65">
      <c r="A65" s="96" t="s">
        <v>97</v>
      </c>
      <c r="B65" s="13"/>
      <c r="C65" s="94" t="s">
        <v>98</v>
      </c>
      <c r="D65" s="13"/>
      <c r="E65" s="92" t="b">
        <v>0</v>
      </c>
      <c r="G65" s="97"/>
      <c r="H65" s="88"/>
    </row>
    <row r="66">
      <c r="A66" s="94" t="s">
        <v>99</v>
      </c>
      <c r="B66" s="13"/>
      <c r="C66" s="94" t="s">
        <v>100</v>
      </c>
      <c r="D66" s="13"/>
      <c r="E66" s="92" t="b">
        <v>0</v>
      </c>
      <c r="G66" s="97"/>
      <c r="H66" s="88"/>
    </row>
    <row r="67">
      <c r="A67" s="94" t="s">
        <v>68</v>
      </c>
      <c r="B67" s="13"/>
      <c r="C67" s="94"/>
      <c r="D67" s="13"/>
      <c r="E67" s="92" t="b">
        <v>0</v>
      </c>
      <c r="G67" s="98"/>
      <c r="H67" s="88"/>
    </row>
    <row r="68">
      <c r="A68" s="51"/>
      <c r="B68" s="51"/>
      <c r="C68" s="51"/>
      <c r="D68" s="51"/>
      <c r="E68" s="51"/>
      <c r="F68" s="51"/>
      <c r="G68" s="51"/>
      <c r="H68" s="43"/>
    </row>
    <row r="69">
      <c r="A69" s="99" t="s">
        <v>101</v>
      </c>
      <c r="B69" s="51"/>
      <c r="C69" s="51"/>
      <c r="D69" s="51"/>
      <c r="E69" s="51"/>
      <c r="F69" s="51"/>
      <c r="G69" s="51"/>
      <c r="H69" s="43"/>
    </row>
    <row r="70">
      <c r="A70" s="100" t="s">
        <v>102</v>
      </c>
      <c r="B70" s="12"/>
      <c r="C70" s="12"/>
      <c r="D70" s="12"/>
      <c r="E70" s="12"/>
      <c r="F70" s="12"/>
      <c r="G70" s="13"/>
      <c r="H70" s="43"/>
    </row>
    <row r="71">
      <c r="A71" s="101" t="s">
        <v>103</v>
      </c>
      <c r="B71" s="101" t="s">
        <v>104</v>
      </c>
      <c r="C71" s="101" t="s">
        <v>105</v>
      </c>
      <c r="D71" s="101" t="s">
        <v>106</v>
      </c>
      <c r="E71" s="102" t="s">
        <v>107</v>
      </c>
      <c r="F71" s="102" t="s">
        <v>108</v>
      </c>
      <c r="G71" s="102" t="s">
        <v>109</v>
      </c>
      <c r="H71" s="43"/>
    </row>
    <row r="72">
      <c r="A72" s="103" t="s">
        <v>110</v>
      </c>
      <c r="B72" s="104"/>
      <c r="C72" s="104"/>
      <c r="D72" s="104"/>
      <c r="E72" s="104"/>
      <c r="F72" s="104"/>
      <c r="G72" s="104"/>
      <c r="H72" s="43"/>
    </row>
    <row r="73">
      <c r="A73" s="105">
        <v>1.0</v>
      </c>
      <c r="B73" s="106" t="s">
        <v>111</v>
      </c>
      <c r="C73" s="107" t="s">
        <v>112</v>
      </c>
      <c r="D73" s="106" t="s">
        <v>113</v>
      </c>
      <c r="E73" s="107">
        <v>5.0</v>
      </c>
      <c r="F73" s="106" t="s">
        <v>114</v>
      </c>
      <c r="G73" s="108" t="b">
        <v>1</v>
      </c>
      <c r="H73" s="43"/>
    </row>
    <row r="74">
      <c r="A74" s="105">
        <v>2.0</v>
      </c>
      <c r="B74" s="106" t="s">
        <v>111</v>
      </c>
      <c r="C74" s="107" t="s">
        <v>112</v>
      </c>
      <c r="D74" s="106" t="s">
        <v>115</v>
      </c>
      <c r="E74" s="107">
        <v>5.0</v>
      </c>
      <c r="F74" s="107"/>
      <c r="G74" s="109" t="b">
        <v>0</v>
      </c>
      <c r="H74" s="43"/>
    </row>
    <row r="75">
      <c r="A75" s="105">
        <v>3.0</v>
      </c>
      <c r="B75" s="110" t="s">
        <v>116</v>
      </c>
      <c r="C75" s="106" t="s">
        <v>117</v>
      </c>
      <c r="D75" s="106" t="s">
        <v>118</v>
      </c>
      <c r="E75" s="106">
        <v>5.0</v>
      </c>
      <c r="F75" s="106"/>
      <c r="G75" s="108" t="b">
        <v>0</v>
      </c>
      <c r="H75" s="43"/>
    </row>
    <row r="76">
      <c r="A76" s="105">
        <v>4.0</v>
      </c>
      <c r="B76" s="110" t="s">
        <v>116</v>
      </c>
      <c r="C76" s="106" t="s">
        <v>117</v>
      </c>
      <c r="D76" s="106" t="s">
        <v>119</v>
      </c>
      <c r="E76" s="106">
        <v>15.0</v>
      </c>
      <c r="F76" s="106"/>
      <c r="G76" s="109" t="b">
        <v>0</v>
      </c>
      <c r="H76" s="43"/>
    </row>
    <row r="77">
      <c r="A77" s="103" t="s">
        <v>120</v>
      </c>
      <c r="B77" s="111"/>
      <c r="C77" s="111"/>
      <c r="D77" s="111"/>
      <c r="E77" s="111"/>
      <c r="F77" s="111"/>
      <c r="G77" s="111"/>
      <c r="H77" s="43"/>
    </row>
    <row r="78">
      <c r="A78" s="112">
        <v>5.0</v>
      </c>
      <c r="B78" s="106" t="s">
        <v>111</v>
      </c>
      <c r="C78" s="106" t="s">
        <v>121</v>
      </c>
      <c r="D78" s="106" t="s">
        <v>122</v>
      </c>
      <c r="E78" s="107">
        <v>5.0</v>
      </c>
      <c r="F78" s="107"/>
      <c r="G78" s="109" t="b">
        <v>0</v>
      </c>
      <c r="H78" s="43"/>
    </row>
    <row r="79">
      <c r="A79" s="105">
        <v>6.0</v>
      </c>
      <c r="B79" s="106" t="s">
        <v>111</v>
      </c>
      <c r="C79" s="106" t="s">
        <v>123</v>
      </c>
      <c r="D79" s="106" t="s">
        <v>124</v>
      </c>
      <c r="E79" s="107">
        <v>20.0</v>
      </c>
      <c r="F79" s="107"/>
      <c r="G79" s="109" t="b">
        <v>0</v>
      </c>
      <c r="H79" s="43"/>
    </row>
    <row r="80">
      <c r="A80" s="113">
        <v>7.0</v>
      </c>
      <c r="B80" s="106" t="s">
        <v>111</v>
      </c>
      <c r="C80" s="106"/>
      <c r="D80" s="106" t="s">
        <v>125</v>
      </c>
      <c r="E80" s="106">
        <v>10.0</v>
      </c>
      <c r="F80" s="106"/>
      <c r="G80" s="109" t="b">
        <v>0</v>
      </c>
      <c r="H80" s="43"/>
    </row>
    <row r="81">
      <c r="A81" s="64"/>
      <c r="B81" s="106" t="s">
        <v>126</v>
      </c>
      <c r="C81" s="106" t="s">
        <v>123</v>
      </c>
      <c r="D81" s="114" t="s">
        <v>127</v>
      </c>
      <c r="E81" s="106">
        <v>10.0</v>
      </c>
      <c r="F81" s="106"/>
      <c r="G81" s="109" t="b">
        <v>0</v>
      </c>
      <c r="H81" s="43"/>
    </row>
    <row r="82">
      <c r="A82" s="103" t="s">
        <v>128</v>
      </c>
      <c r="B82" s="111"/>
      <c r="C82" s="111"/>
      <c r="D82" s="111"/>
      <c r="E82" s="111"/>
      <c r="F82" s="111"/>
      <c r="G82" s="111"/>
      <c r="H82" s="43"/>
    </row>
    <row r="83">
      <c r="A83" s="112">
        <v>8.0</v>
      </c>
      <c r="B83" s="110" t="s">
        <v>116</v>
      </c>
      <c r="C83" s="106" t="s">
        <v>129</v>
      </c>
      <c r="D83" s="106" t="s">
        <v>130</v>
      </c>
      <c r="E83" s="106">
        <v>20.0</v>
      </c>
      <c r="F83" s="106"/>
      <c r="G83" s="109" t="b">
        <v>0</v>
      </c>
      <c r="H83" s="43"/>
    </row>
    <row r="84">
      <c r="A84" s="112">
        <v>9.0</v>
      </c>
      <c r="B84" s="110" t="s">
        <v>116</v>
      </c>
      <c r="C84" s="107" t="s">
        <v>112</v>
      </c>
      <c r="D84" s="106" t="s">
        <v>131</v>
      </c>
      <c r="E84" s="107">
        <v>10.0</v>
      </c>
      <c r="F84" s="107"/>
      <c r="G84" s="109" t="b">
        <v>0</v>
      </c>
      <c r="H84" s="43"/>
    </row>
    <row r="85">
      <c r="A85" s="112">
        <v>10.0</v>
      </c>
      <c r="B85" s="110" t="s">
        <v>116</v>
      </c>
      <c r="C85" s="107" t="s">
        <v>112</v>
      </c>
      <c r="D85" s="106" t="s">
        <v>132</v>
      </c>
      <c r="E85" s="107">
        <v>5.0</v>
      </c>
      <c r="F85" s="107"/>
      <c r="G85" s="109" t="b">
        <v>0</v>
      </c>
      <c r="H85" s="43"/>
    </row>
    <row r="86">
      <c r="A86" s="115" t="s">
        <v>133</v>
      </c>
      <c r="B86" s="111"/>
      <c r="C86" s="111"/>
      <c r="D86" s="111"/>
      <c r="E86" s="111"/>
      <c r="F86" s="111"/>
      <c r="G86" s="111"/>
      <c r="H86" s="43"/>
    </row>
    <row r="87">
      <c r="A87" s="116">
        <v>11.0</v>
      </c>
      <c r="B87" s="106" t="s">
        <v>134</v>
      </c>
      <c r="C87" s="117" t="s">
        <v>112</v>
      </c>
      <c r="D87" s="63" t="s">
        <v>135</v>
      </c>
      <c r="E87" s="118">
        <v>5.0</v>
      </c>
      <c r="F87" s="118"/>
      <c r="G87" s="117"/>
      <c r="H87" s="43"/>
    </row>
    <row r="88">
      <c r="A88" s="116">
        <v>12.0</v>
      </c>
      <c r="B88" s="106" t="s">
        <v>134</v>
      </c>
      <c r="C88" s="117" t="s">
        <v>136</v>
      </c>
      <c r="D88" s="63" t="s">
        <v>137</v>
      </c>
      <c r="E88" s="118">
        <v>10.0</v>
      </c>
      <c r="F88" s="118"/>
      <c r="G88" s="117"/>
      <c r="H88" s="43"/>
    </row>
    <row r="89">
      <c r="A89" s="116">
        <v>13.0</v>
      </c>
      <c r="B89" s="106" t="s">
        <v>134</v>
      </c>
      <c r="C89" s="117" t="s">
        <v>112</v>
      </c>
      <c r="D89" s="63" t="s">
        <v>138</v>
      </c>
      <c r="E89" s="118">
        <v>5.0</v>
      </c>
      <c r="F89" s="118"/>
      <c r="G89" s="117"/>
      <c r="H89" s="43"/>
    </row>
    <row r="90">
      <c r="A90" s="115" t="s">
        <v>139</v>
      </c>
      <c r="B90" s="104"/>
      <c r="C90" s="104"/>
      <c r="D90" s="104"/>
      <c r="E90" s="104"/>
      <c r="F90" s="104"/>
      <c r="G90" s="104"/>
      <c r="H90" s="43"/>
    </row>
    <row r="91">
      <c r="A91" s="116">
        <v>14.0</v>
      </c>
      <c r="B91" s="106" t="s">
        <v>134</v>
      </c>
      <c r="C91" s="117" t="s">
        <v>112</v>
      </c>
      <c r="D91" s="63" t="s">
        <v>140</v>
      </c>
      <c r="E91" s="118">
        <v>5.0</v>
      </c>
      <c r="F91" s="118"/>
      <c r="G91" s="117"/>
      <c r="H91" s="43"/>
    </row>
    <row r="92">
      <c r="A92" s="116">
        <v>15.0</v>
      </c>
      <c r="B92" s="106" t="s">
        <v>134</v>
      </c>
      <c r="C92" s="117" t="s">
        <v>136</v>
      </c>
      <c r="D92" s="63" t="s">
        <v>141</v>
      </c>
      <c r="E92" s="118">
        <v>10.0</v>
      </c>
      <c r="F92" s="118"/>
      <c r="G92" s="117"/>
      <c r="H92" s="43"/>
    </row>
    <row r="93">
      <c r="A93" s="116">
        <v>16.0</v>
      </c>
      <c r="B93" s="106" t="s">
        <v>134</v>
      </c>
      <c r="C93" s="117" t="s">
        <v>112</v>
      </c>
      <c r="D93" s="63" t="s">
        <v>142</v>
      </c>
      <c r="E93" s="118">
        <v>5.0</v>
      </c>
      <c r="F93" s="118"/>
      <c r="G93" s="117"/>
      <c r="H93" s="43"/>
    </row>
    <row r="94">
      <c r="A94" s="112">
        <v>17.0</v>
      </c>
      <c r="B94" s="110" t="s">
        <v>116</v>
      </c>
      <c r="C94" s="106" t="s">
        <v>143</v>
      </c>
      <c r="D94" s="106" t="s">
        <v>144</v>
      </c>
      <c r="E94" s="107">
        <v>5.0</v>
      </c>
      <c r="F94" s="107"/>
      <c r="G94" s="109" t="b">
        <v>0</v>
      </c>
      <c r="H94" s="43"/>
    </row>
    <row r="95">
      <c r="A95" s="112">
        <v>18.0</v>
      </c>
      <c r="B95" s="110" t="s">
        <v>116</v>
      </c>
      <c r="C95" s="106"/>
      <c r="D95" s="106" t="s">
        <v>145</v>
      </c>
      <c r="E95" s="107">
        <v>25.0</v>
      </c>
      <c r="F95" s="107"/>
      <c r="G95" s="109" t="b">
        <v>0</v>
      </c>
      <c r="H95" s="43"/>
    </row>
    <row r="96">
      <c r="A96" s="112">
        <v>19.0</v>
      </c>
      <c r="B96" s="106" t="s">
        <v>134</v>
      </c>
      <c r="C96" s="107" t="s">
        <v>112</v>
      </c>
      <c r="D96" s="106" t="s">
        <v>146</v>
      </c>
      <c r="E96" s="107">
        <v>5.0</v>
      </c>
      <c r="F96" s="107"/>
      <c r="G96" s="109" t="b">
        <v>0</v>
      </c>
      <c r="H96" s="43"/>
    </row>
    <row r="97">
      <c r="A97" s="115" t="s">
        <v>147</v>
      </c>
      <c r="B97" s="119"/>
      <c r="C97" s="119"/>
      <c r="D97" s="119"/>
      <c r="E97" s="119"/>
      <c r="F97" s="119"/>
      <c r="G97" s="119"/>
      <c r="H97" s="43"/>
    </row>
    <row r="98">
      <c r="A98" s="120">
        <v>20.0</v>
      </c>
      <c r="B98" s="106" t="s">
        <v>134</v>
      </c>
      <c r="C98" s="117" t="s">
        <v>112</v>
      </c>
      <c r="D98" s="63" t="s">
        <v>148</v>
      </c>
      <c r="E98" s="118">
        <v>10.0</v>
      </c>
      <c r="F98" s="118"/>
      <c r="G98" s="117"/>
      <c r="H98" s="43"/>
    </row>
    <row r="99">
      <c r="A99" s="116">
        <v>21.0</v>
      </c>
      <c r="B99" s="106" t="s">
        <v>134</v>
      </c>
      <c r="C99" s="117" t="s">
        <v>112</v>
      </c>
      <c r="D99" s="63" t="s">
        <v>149</v>
      </c>
      <c r="E99" s="118">
        <v>5.0</v>
      </c>
      <c r="F99" s="118"/>
      <c r="G99" s="117"/>
      <c r="H99" s="43"/>
    </row>
    <row r="100">
      <c r="A100" s="116">
        <v>22.0</v>
      </c>
      <c r="B100" s="106" t="s">
        <v>134</v>
      </c>
      <c r="C100" s="117" t="s">
        <v>150</v>
      </c>
      <c r="D100" s="63" t="s">
        <v>151</v>
      </c>
      <c r="E100" s="118">
        <v>25.0</v>
      </c>
      <c r="F100" s="118"/>
      <c r="G100" s="117"/>
      <c r="H100" s="43"/>
    </row>
    <row r="101">
      <c r="A101" s="116">
        <v>23.0</v>
      </c>
      <c r="B101" s="106" t="s">
        <v>134</v>
      </c>
      <c r="C101" s="117" t="s">
        <v>112</v>
      </c>
      <c r="D101" s="63" t="s">
        <v>152</v>
      </c>
      <c r="E101" s="118">
        <v>5.0</v>
      </c>
      <c r="F101" s="118"/>
      <c r="G101" s="117"/>
      <c r="H101" s="43"/>
    </row>
    <row r="102">
      <c r="A102" s="116">
        <v>24.0</v>
      </c>
      <c r="B102" s="106" t="s">
        <v>111</v>
      </c>
      <c r="C102" s="117" t="s">
        <v>112</v>
      </c>
      <c r="D102" s="63" t="s">
        <v>153</v>
      </c>
      <c r="E102" s="118">
        <v>5.0</v>
      </c>
      <c r="F102" s="118"/>
      <c r="G102" s="117"/>
      <c r="H102" s="43"/>
    </row>
    <row r="103">
      <c r="A103" s="103" t="s">
        <v>154</v>
      </c>
      <c r="B103" s="104"/>
      <c r="C103" s="104"/>
      <c r="D103" s="104"/>
      <c r="E103" s="104"/>
      <c r="F103" s="104"/>
      <c r="G103" s="104"/>
      <c r="H103" s="43"/>
    </row>
    <row r="104">
      <c r="A104" s="112">
        <v>25.0</v>
      </c>
      <c r="B104" s="106" t="s">
        <v>134</v>
      </c>
      <c r="C104" s="107" t="s">
        <v>112</v>
      </c>
      <c r="D104" s="114" t="s">
        <v>155</v>
      </c>
      <c r="E104" s="107">
        <v>5.0</v>
      </c>
      <c r="F104" s="107"/>
      <c r="G104" s="109" t="b">
        <v>0</v>
      </c>
      <c r="H104" s="43"/>
    </row>
    <row r="105">
      <c r="A105" s="112">
        <v>26.0</v>
      </c>
      <c r="B105" s="110" t="s">
        <v>116</v>
      </c>
      <c r="C105" s="107" t="s">
        <v>112</v>
      </c>
      <c r="D105" s="106" t="s">
        <v>156</v>
      </c>
      <c r="E105" s="107">
        <v>5.0</v>
      </c>
      <c r="F105" s="107"/>
      <c r="G105" s="108" t="b">
        <v>0</v>
      </c>
      <c r="H105" s="43"/>
    </row>
    <row r="106">
      <c r="A106" s="121"/>
      <c r="B106" s="121"/>
      <c r="C106" s="122"/>
      <c r="D106" s="122"/>
      <c r="E106" s="122"/>
      <c r="F106" s="122"/>
      <c r="G106" s="122"/>
      <c r="H106" s="43"/>
    </row>
    <row r="107">
      <c r="A107" s="123" t="s">
        <v>157</v>
      </c>
      <c r="B107" s="124"/>
      <c r="C107" s="124"/>
      <c r="D107" s="124"/>
      <c r="E107" s="124"/>
      <c r="F107" s="124"/>
      <c r="G107" s="124"/>
      <c r="H107" s="43"/>
    </row>
    <row r="108">
      <c r="A108" s="100" t="s">
        <v>102</v>
      </c>
      <c r="B108" s="12"/>
      <c r="C108" s="12"/>
      <c r="D108" s="12"/>
      <c r="E108" s="12"/>
      <c r="F108" s="12"/>
      <c r="G108" s="12"/>
      <c r="H108" s="43"/>
    </row>
    <row r="109">
      <c r="A109" s="101" t="s">
        <v>103</v>
      </c>
      <c r="B109" s="101" t="s">
        <v>104</v>
      </c>
      <c r="C109" s="101" t="s">
        <v>105</v>
      </c>
      <c r="D109" s="101" t="s">
        <v>106</v>
      </c>
      <c r="E109" s="102" t="s">
        <v>107</v>
      </c>
      <c r="F109" s="102" t="s">
        <v>108</v>
      </c>
      <c r="G109" s="102" t="s">
        <v>109</v>
      </c>
      <c r="H109" s="43"/>
    </row>
    <row r="110">
      <c r="A110" s="103" t="s">
        <v>158</v>
      </c>
      <c r="B110" s="104"/>
      <c r="C110" s="104"/>
      <c r="D110" s="104"/>
      <c r="E110" s="104"/>
      <c r="F110" s="104"/>
      <c r="G110" s="104"/>
      <c r="H110" s="43"/>
    </row>
    <row r="111">
      <c r="A111" s="105">
        <v>1.0</v>
      </c>
      <c r="B111" s="106" t="s">
        <v>159</v>
      </c>
      <c r="C111" s="107" t="s">
        <v>112</v>
      </c>
      <c r="D111" s="106" t="s">
        <v>160</v>
      </c>
      <c r="E111" s="107">
        <v>5.0</v>
      </c>
      <c r="F111" s="107"/>
      <c r="G111" s="109" t="b">
        <v>0</v>
      </c>
      <c r="H111" s="43"/>
    </row>
    <row r="112">
      <c r="A112" s="105">
        <v>2.0</v>
      </c>
      <c r="B112" s="125" t="s">
        <v>111</v>
      </c>
      <c r="C112" s="107" t="s">
        <v>112</v>
      </c>
      <c r="D112" s="106" t="s">
        <v>161</v>
      </c>
      <c r="E112" s="107">
        <v>5.0</v>
      </c>
      <c r="F112" s="107"/>
      <c r="G112" s="109" t="b">
        <v>0</v>
      </c>
      <c r="H112" s="43"/>
    </row>
    <row r="113">
      <c r="A113" s="105">
        <v>3.0</v>
      </c>
      <c r="B113" s="110" t="s">
        <v>116</v>
      </c>
      <c r="C113" s="106" t="s">
        <v>117</v>
      </c>
      <c r="D113" s="106" t="s">
        <v>162</v>
      </c>
      <c r="E113" s="107">
        <v>5.0</v>
      </c>
      <c r="F113" s="107"/>
      <c r="G113" s="109" t="b">
        <v>0</v>
      </c>
      <c r="H113" s="43"/>
    </row>
    <row r="114">
      <c r="A114" s="105">
        <v>4.0</v>
      </c>
      <c r="B114" s="110" t="s">
        <v>116</v>
      </c>
      <c r="C114" s="107" t="s">
        <v>112</v>
      </c>
      <c r="D114" s="106" t="s">
        <v>163</v>
      </c>
      <c r="E114" s="107">
        <v>5.0</v>
      </c>
      <c r="F114" s="107"/>
      <c r="G114" s="109" t="b">
        <v>0</v>
      </c>
      <c r="H114" s="43"/>
    </row>
    <row r="115">
      <c r="A115" s="103" t="s">
        <v>164</v>
      </c>
      <c r="B115" s="104"/>
      <c r="C115" s="104"/>
      <c r="D115" s="104"/>
      <c r="E115" s="104"/>
      <c r="F115" s="104"/>
      <c r="G115" s="104"/>
      <c r="H115" s="43"/>
    </row>
    <row r="116">
      <c r="A116" s="105">
        <v>5.0</v>
      </c>
      <c r="B116" s="126" t="s">
        <v>111</v>
      </c>
      <c r="C116" s="107" t="s">
        <v>112</v>
      </c>
      <c r="D116" s="106" t="s">
        <v>165</v>
      </c>
      <c r="E116" s="107">
        <v>40.0</v>
      </c>
      <c r="F116" s="107"/>
      <c r="G116" s="109" t="b">
        <v>0</v>
      </c>
      <c r="H116" s="43"/>
    </row>
    <row r="117">
      <c r="A117" s="112">
        <v>6.0</v>
      </c>
      <c r="B117" s="126" t="s">
        <v>111</v>
      </c>
      <c r="C117" s="106" t="s">
        <v>166</v>
      </c>
      <c r="D117" s="106" t="s">
        <v>122</v>
      </c>
      <c r="E117" s="107">
        <v>5.0</v>
      </c>
      <c r="F117" s="107"/>
      <c r="G117" s="109" t="b">
        <v>0</v>
      </c>
      <c r="H117" s="43"/>
    </row>
    <row r="118">
      <c r="A118" s="112">
        <v>7.0</v>
      </c>
      <c r="B118" s="106" t="s">
        <v>111</v>
      </c>
      <c r="C118" s="106" t="s">
        <v>123</v>
      </c>
      <c r="D118" s="106" t="s">
        <v>167</v>
      </c>
      <c r="E118" s="107">
        <v>20.0</v>
      </c>
      <c r="F118" s="107"/>
      <c r="G118" s="109" t="b">
        <v>0</v>
      </c>
      <c r="H118" s="43"/>
    </row>
    <row r="119">
      <c r="A119" s="112">
        <v>8.0</v>
      </c>
      <c r="B119" s="106" t="s">
        <v>168</v>
      </c>
      <c r="C119" s="106"/>
      <c r="D119" s="106" t="s">
        <v>169</v>
      </c>
      <c r="E119" s="106">
        <v>10.0</v>
      </c>
      <c r="F119" s="106"/>
      <c r="G119" s="109" t="b">
        <v>0</v>
      </c>
      <c r="H119" s="43"/>
    </row>
    <row r="120">
      <c r="A120" s="105">
        <v>9.0</v>
      </c>
      <c r="B120" s="106" t="s">
        <v>126</v>
      </c>
      <c r="C120" s="106" t="s">
        <v>123</v>
      </c>
      <c r="D120" s="110" t="s">
        <v>170</v>
      </c>
      <c r="E120" s="106">
        <v>10.0</v>
      </c>
      <c r="F120" s="106"/>
      <c r="G120" s="109" t="b">
        <v>0</v>
      </c>
      <c r="H120" s="43"/>
    </row>
    <row r="121">
      <c r="A121" s="105">
        <v>10.0</v>
      </c>
      <c r="B121" s="125" t="s">
        <v>111</v>
      </c>
      <c r="C121" s="106" t="s">
        <v>123</v>
      </c>
      <c r="D121" s="114" t="s">
        <v>171</v>
      </c>
      <c r="E121" s="106">
        <v>10.0</v>
      </c>
      <c r="F121" s="106"/>
      <c r="G121" s="109" t="b">
        <v>0</v>
      </c>
      <c r="H121" s="43"/>
    </row>
    <row r="122">
      <c r="A122" s="103" t="s">
        <v>172</v>
      </c>
      <c r="B122" s="104"/>
      <c r="C122" s="104"/>
      <c r="D122" s="104"/>
      <c r="E122" s="104"/>
      <c r="F122" s="104"/>
      <c r="G122" s="104"/>
      <c r="H122" s="43"/>
    </row>
    <row r="123">
      <c r="A123" s="112">
        <v>11.0</v>
      </c>
      <c r="B123" s="110" t="s">
        <v>116</v>
      </c>
      <c r="C123" s="106" t="s">
        <v>129</v>
      </c>
      <c r="D123" s="106" t="s">
        <v>130</v>
      </c>
      <c r="E123" s="107">
        <v>10.0</v>
      </c>
      <c r="F123" s="107"/>
      <c r="G123" s="109" t="b">
        <v>0</v>
      </c>
      <c r="H123" s="43"/>
    </row>
    <row r="124">
      <c r="A124" s="112">
        <v>12.0</v>
      </c>
      <c r="B124" s="110" t="s">
        <v>116</v>
      </c>
      <c r="C124" s="107" t="s">
        <v>112</v>
      </c>
      <c r="D124" s="106" t="s">
        <v>173</v>
      </c>
      <c r="E124" s="107">
        <v>5.0</v>
      </c>
      <c r="F124" s="107"/>
      <c r="G124" s="109" t="b">
        <v>0</v>
      </c>
      <c r="H124" s="43"/>
    </row>
    <row r="125">
      <c r="A125" s="112">
        <v>13.0</v>
      </c>
      <c r="B125" s="110" t="s">
        <v>116</v>
      </c>
      <c r="C125" s="107" t="s">
        <v>112</v>
      </c>
      <c r="D125" s="106" t="s">
        <v>132</v>
      </c>
      <c r="E125" s="107">
        <v>5.0</v>
      </c>
      <c r="F125" s="107"/>
      <c r="G125" s="109" t="b">
        <v>0</v>
      </c>
      <c r="H125" s="43"/>
    </row>
    <row r="126">
      <c r="A126" s="103" t="s">
        <v>139</v>
      </c>
      <c r="B126" s="104"/>
      <c r="C126" s="104"/>
      <c r="D126" s="104"/>
      <c r="E126" s="104"/>
      <c r="F126" s="104"/>
      <c r="G126" s="104"/>
      <c r="H126" s="43"/>
    </row>
    <row r="127">
      <c r="A127" s="112">
        <v>14.0</v>
      </c>
      <c r="B127" s="114" t="s">
        <v>116</v>
      </c>
      <c r="C127" s="106" t="s">
        <v>129</v>
      </c>
      <c r="D127" s="106" t="s">
        <v>174</v>
      </c>
      <c r="E127" s="107">
        <v>5.0</v>
      </c>
      <c r="F127" s="107"/>
      <c r="G127" s="109" t="b">
        <v>0</v>
      </c>
      <c r="H127" s="43"/>
    </row>
    <row r="128">
      <c r="A128" s="103" t="s">
        <v>175</v>
      </c>
      <c r="B128" s="104"/>
      <c r="C128" s="104"/>
      <c r="D128" s="104"/>
      <c r="E128" s="104"/>
      <c r="F128" s="104"/>
      <c r="G128" s="104"/>
      <c r="H128" s="43"/>
    </row>
    <row r="129">
      <c r="A129" s="112">
        <v>15.0</v>
      </c>
      <c r="B129" s="110" t="s">
        <v>168</v>
      </c>
      <c r="C129" s="107" t="s">
        <v>112</v>
      </c>
      <c r="D129" s="106" t="s">
        <v>176</v>
      </c>
      <c r="E129" s="107">
        <v>10.0</v>
      </c>
      <c r="F129" s="107"/>
      <c r="G129" s="109" t="b">
        <v>0</v>
      </c>
      <c r="H129" s="43"/>
    </row>
    <row r="130">
      <c r="A130" s="112">
        <v>16.0</v>
      </c>
      <c r="B130" s="110" t="s">
        <v>116</v>
      </c>
      <c r="C130" s="106" t="s">
        <v>143</v>
      </c>
      <c r="D130" s="106" t="s">
        <v>144</v>
      </c>
      <c r="E130" s="107">
        <v>5.0</v>
      </c>
      <c r="F130" s="107"/>
      <c r="G130" s="109" t="b">
        <v>0</v>
      </c>
      <c r="H130" s="43"/>
    </row>
    <row r="131">
      <c r="A131" s="112">
        <v>17.0</v>
      </c>
      <c r="B131" s="110" t="s">
        <v>116</v>
      </c>
      <c r="C131" s="106"/>
      <c r="D131" s="106" t="s">
        <v>177</v>
      </c>
      <c r="E131" s="107">
        <v>25.0</v>
      </c>
      <c r="F131" s="107"/>
      <c r="G131" s="109" t="b">
        <v>0</v>
      </c>
      <c r="H131" s="43"/>
    </row>
    <row r="132">
      <c r="A132" s="112">
        <v>18.0</v>
      </c>
      <c r="B132" s="110" t="s">
        <v>168</v>
      </c>
      <c r="C132" s="107" t="s">
        <v>112</v>
      </c>
      <c r="D132" s="106" t="s">
        <v>146</v>
      </c>
      <c r="E132" s="107">
        <v>5.0</v>
      </c>
      <c r="F132" s="107"/>
      <c r="G132" s="109" t="b">
        <v>0</v>
      </c>
      <c r="H132" s="43"/>
    </row>
    <row r="133">
      <c r="A133" s="103" t="s">
        <v>178</v>
      </c>
      <c r="B133" s="104"/>
      <c r="C133" s="104"/>
      <c r="D133" s="104"/>
      <c r="E133" s="104"/>
      <c r="F133" s="104"/>
      <c r="G133" s="104"/>
      <c r="H133" s="43"/>
    </row>
    <row r="134">
      <c r="A134" s="112">
        <v>19.0</v>
      </c>
      <c r="B134" s="110" t="s">
        <v>168</v>
      </c>
      <c r="C134" s="107" t="s">
        <v>112</v>
      </c>
      <c r="D134" s="106" t="s">
        <v>179</v>
      </c>
      <c r="E134" s="107">
        <v>5.0</v>
      </c>
      <c r="F134" s="107"/>
      <c r="G134" s="109" t="b">
        <v>0</v>
      </c>
      <c r="H134" s="43"/>
    </row>
    <row r="135">
      <c r="A135" s="112">
        <v>20.0</v>
      </c>
      <c r="B135" s="110" t="s">
        <v>116</v>
      </c>
      <c r="C135" s="107" t="s">
        <v>112</v>
      </c>
      <c r="D135" s="106" t="s">
        <v>156</v>
      </c>
      <c r="E135" s="107">
        <v>5.0</v>
      </c>
      <c r="F135" s="107"/>
      <c r="G135" s="109" t="b">
        <v>0</v>
      </c>
      <c r="H135" s="43"/>
    </row>
    <row r="136">
      <c r="A136" s="127"/>
      <c r="B136" s="127"/>
      <c r="C136" s="127"/>
      <c r="D136" s="127"/>
      <c r="E136" s="127"/>
      <c r="F136" s="127"/>
      <c r="G136" s="127"/>
      <c r="H136" s="43"/>
    </row>
  </sheetData>
  <mergeCells count="95">
    <mergeCell ref="A1:B3"/>
    <mergeCell ref="C1:E3"/>
    <mergeCell ref="F1:G1"/>
    <mergeCell ref="F2:G2"/>
    <mergeCell ref="F3:G3"/>
    <mergeCell ref="A4:E4"/>
    <mergeCell ref="F4:G4"/>
    <mergeCell ref="A9:B9"/>
    <mergeCell ref="A10:B10"/>
    <mergeCell ref="A11:B11"/>
    <mergeCell ref="A13:B13"/>
    <mergeCell ref="D13:D14"/>
    <mergeCell ref="E13:E14"/>
    <mergeCell ref="A14:B14"/>
    <mergeCell ref="D21:F21"/>
    <mergeCell ref="D22:F22"/>
    <mergeCell ref="D23:F23"/>
    <mergeCell ref="A24:H24"/>
    <mergeCell ref="A17:B17"/>
    <mergeCell ref="D17:F17"/>
    <mergeCell ref="A18:B18"/>
    <mergeCell ref="D18:F18"/>
    <mergeCell ref="A19:B19"/>
    <mergeCell ref="D19:F19"/>
    <mergeCell ref="D20:F20"/>
    <mergeCell ref="A20:B20"/>
    <mergeCell ref="A21:B21"/>
    <mergeCell ref="A22:B22"/>
    <mergeCell ref="A23:B23"/>
    <mergeCell ref="A26:B26"/>
    <mergeCell ref="C26:D26"/>
    <mergeCell ref="E26:F26"/>
    <mergeCell ref="C29:D29"/>
    <mergeCell ref="E29:F29"/>
    <mergeCell ref="A27:B27"/>
    <mergeCell ref="C27:D27"/>
    <mergeCell ref="E27:F27"/>
    <mergeCell ref="A28:B28"/>
    <mergeCell ref="C28:D28"/>
    <mergeCell ref="E28:F28"/>
    <mergeCell ref="A29:B29"/>
    <mergeCell ref="B59:D59"/>
    <mergeCell ref="B60:D60"/>
    <mergeCell ref="A61:G61"/>
    <mergeCell ref="A62:G62"/>
    <mergeCell ref="A63:B63"/>
    <mergeCell ref="C63:D63"/>
    <mergeCell ref="C64:D64"/>
    <mergeCell ref="A64:B64"/>
    <mergeCell ref="A65:B65"/>
    <mergeCell ref="C65:D65"/>
    <mergeCell ref="A66:B66"/>
    <mergeCell ref="C66:D66"/>
    <mergeCell ref="A67:B67"/>
    <mergeCell ref="C67:D67"/>
    <mergeCell ref="A30:B30"/>
    <mergeCell ref="C30:D30"/>
    <mergeCell ref="E30:F30"/>
    <mergeCell ref="A31:B31"/>
    <mergeCell ref="C31:D31"/>
    <mergeCell ref="E31:F31"/>
    <mergeCell ref="A32:B32"/>
    <mergeCell ref="C32:D32"/>
    <mergeCell ref="E32:F32"/>
    <mergeCell ref="A34:H34"/>
    <mergeCell ref="A35:B35"/>
    <mergeCell ref="C35:D35"/>
    <mergeCell ref="A36:B36"/>
    <mergeCell ref="C36:D36"/>
    <mergeCell ref="A37:B37"/>
    <mergeCell ref="C37:D37"/>
    <mergeCell ref="A39:H39"/>
    <mergeCell ref="A40:B40"/>
    <mergeCell ref="C40:D40"/>
    <mergeCell ref="A41:B41"/>
    <mergeCell ref="C41:D41"/>
    <mergeCell ref="A47:B47"/>
    <mergeCell ref="A48:B48"/>
    <mergeCell ref="A80:A81"/>
    <mergeCell ref="A42:B42"/>
    <mergeCell ref="C42:D42"/>
    <mergeCell ref="A45:B45"/>
    <mergeCell ref="C45:D45"/>
    <mergeCell ref="A46:B46"/>
    <mergeCell ref="C46:D46"/>
    <mergeCell ref="C47:D47"/>
    <mergeCell ref="C48:D48"/>
    <mergeCell ref="B51:D51"/>
    <mergeCell ref="B52:D52"/>
    <mergeCell ref="B53:D53"/>
    <mergeCell ref="B56:D56"/>
    <mergeCell ref="B57:D57"/>
    <mergeCell ref="B58:D58"/>
    <mergeCell ref="A70:G70"/>
    <mergeCell ref="A108:G108"/>
  </mergeCells>
  <conditionalFormatting sqref="C36:D36">
    <cfRule type="expression" dxfId="0" priority="1">
      <formula>$C$35="No"</formula>
    </cfRule>
  </conditionalFormatting>
  <dataValidations>
    <dataValidation type="list" allowBlank="1" showErrorMessage="1" sqref="C35">
      <formula1>"Yes,No"</formula1>
    </dataValidation>
  </dataValidations>
  <hyperlinks>
    <hyperlink r:id="rId2" ref="C27"/>
    <hyperlink r:id="rId3" ref="C28"/>
    <hyperlink r:id="rId4" ref="C29"/>
    <hyperlink r:id="rId5" ref="C30"/>
    <hyperlink r:id="rId6" ref="C31"/>
    <hyperlink display="Infrastructure Checklist" location="'Infrastructure Checklist'!A1" ref="C36"/>
    <hyperlink r:id="rId7" ref="C41"/>
    <hyperlink r:id="rId8" ref="C46"/>
    <hyperlink r:id="rId9" ref="C47"/>
    <hyperlink r:id="rId10" ref="C48"/>
  </hyperlinks>
  <drawing r:id="rId11"/>
  <legacy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12.63"/>
    <col customWidth="1" min="3" max="3" width="33.25"/>
    <col customWidth="1" min="4" max="7" width="13.25"/>
    <col customWidth="1" min="8" max="8" width="46.88"/>
  </cols>
  <sheetData>
    <row r="1">
      <c r="A1" s="128"/>
      <c r="C1" s="41" t="s">
        <v>0</v>
      </c>
      <c r="D1" s="2"/>
      <c r="E1" s="2"/>
      <c r="F1" s="2"/>
      <c r="G1" s="5"/>
      <c r="H1" s="129" t="s">
        <v>1</v>
      </c>
    </row>
    <row r="2">
      <c r="C2" s="6"/>
      <c r="G2" s="8"/>
      <c r="H2" s="130" t="s">
        <v>2</v>
      </c>
    </row>
    <row r="3" ht="15.0" customHeight="1">
      <c r="C3" s="45"/>
      <c r="D3" s="46"/>
      <c r="E3" s="46"/>
      <c r="F3" s="46"/>
      <c r="G3" s="10"/>
      <c r="H3" s="130" t="s">
        <v>3</v>
      </c>
    </row>
    <row r="4">
      <c r="A4" s="47" t="s">
        <v>4</v>
      </c>
      <c r="B4" s="12"/>
      <c r="C4" s="12"/>
      <c r="D4" s="12"/>
      <c r="E4" s="12"/>
      <c r="F4" s="12"/>
      <c r="G4" s="12"/>
      <c r="H4" s="131" t="s">
        <v>5</v>
      </c>
    </row>
    <row r="5">
      <c r="A5" s="132"/>
      <c r="B5" s="133"/>
      <c r="C5" s="133"/>
      <c r="D5" s="53"/>
      <c r="E5" s="88"/>
      <c r="F5" s="88"/>
      <c r="G5" s="88"/>
      <c r="H5" s="90"/>
    </row>
    <row r="6">
      <c r="A6" s="134" t="s">
        <v>180</v>
      </c>
      <c r="B6" s="53"/>
      <c r="C6" s="53"/>
      <c r="D6" s="53"/>
      <c r="E6" s="88"/>
      <c r="F6" s="88"/>
      <c r="G6" s="88"/>
      <c r="H6" s="90"/>
    </row>
    <row r="7">
      <c r="C7" s="84"/>
      <c r="D7" s="67" t="s">
        <v>181</v>
      </c>
      <c r="E7" s="67" t="s">
        <v>182</v>
      </c>
      <c r="F7" s="67" t="s">
        <v>183</v>
      </c>
      <c r="G7" s="67" t="s">
        <v>184</v>
      </c>
      <c r="H7" s="87"/>
    </row>
    <row r="8">
      <c r="A8" s="135" t="s">
        <v>40</v>
      </c>
      <c r="B8" s="12"/>
      <c r="C8" s="13"/>
      <c r="D8" s="136" t="s">
        <v>95</v>
      </c>
      <c r="E8" s="136" t="s">
        <v>95</v>
      </c>
      <c r="F8" s="136" t="s">
        <v>95</v>
      </c>
      <c r="G8" s="136" t="s">
        <v>95</v>
      </c>
      <c r="H8" s="87"/>
    </row>
    <row r="9">
      <c r="A9" s="135" t="s">
        <v>185</v>
      </c>
      <c r="B9" s="12"/>
      <c r="C9" s="13"/>
      <c r="D9" s="137" t="str">
        <f t="shared" ref="D9:G9" si="1">CONCATENATE((countif(D13:D63,true)),"/",(countif(D13:D63, true)+(countif(D13:D63,false))))</f>
        <v>0/28</v>
      </c>
      <c r="E9" s="137" t="str">
        <f t="shared" si="1"/>
        <v>0/16</v>
      </c>
      <c r="F9" s="137" t="str">
        <f t="shared" si="1"/>
        <v>0/28</v>
      </c>
      <c r="G9" s="137" t="str">
        <f t="shared" si="1"/>
        <v>0/24</v>
      </c>
      <c r="H9" s="87" t="s">
        <v>186</v>
      </c>
    </row>
    <row r="10">
      <c r="A10" s="138"/>
      <c r="B10" s="138"/>
      <c r="C10" s="139"/>
      <c r="D10" s="140"/>
      <c r="E10" s="140"/>
      <c r="F10" s="140"/>
      <c r="G10" s="140"/>
      <c r="H10" s="87"/>
    </row>
    <row r="11">
      <c r="A11" s="67" t="s">
        <v>103</v>
      </c>
      <c r="B11" s="66" t="s">
        <v>106</v>
      </c>
      <c r="C11" s="13"/>
      <c r="D11" s="66" t="s">
        <v>187</v>
      </c>
      <c r="E11" s="12"/>
      <c r="F11" s="12"/>
      <c r="G11" s="13"/>
      <c r="H11" s="71" t="s">
        <v>188</v>
      </c>
    </row>
    <row r="12">
      <c r="A12" s="141" t="s">
        <v>189</v>
      </c>
      <c r="B12" s="142"/>
      <c r="C12" s="142"/>
      <c r="D12" s="67" t="s">
        <v>181</v>
      </c>
      <c r="E12" s="67" t="s">
        <v>182</v>
      </c>
      <c r="F12" s="67" t="s">
        <v>183</v>
      </c>
      <c r="G12" s="67" t="s">
        <v>184</v>
      </c>
      <c r="H12" s="143"/>
    </row>
    <row r="13">
      <c r="A13" s="144">
        <f t="shared" ref="A13:A45" si="2">ROW()-ROW($A$12)</f>
        <v>1</v>
      </c>
      <c r="B13" s="145" t="s">
        <v>190</v>
      </c>
      <c r="C13" s="13"/>
      <c r="D13" s="146" t="b">
        <v>0</v>
      </c>
      <c r="E13" s="146" t="b">
        <v>0</v>
      </c>
      <c r="F13" s="146" t="b">
        <v>0</v>
      </c>
      <c r="G13" s="146" t="b">
        <v>0</v>
      </c>
      <c r="H13" s="147" t="s">
        <v>191</v>
      </c>
    </row>
    <row r="14">
      <c r="A14" s="144">
        <f t="shared" si="2"/>
        <v>2</v>
      </c>
      <c r="B14" s="145" t="s">
        <v>192</v>
      </c>
      <c r="C14" s="13"/>
      <c r="D14" s="146" t="b">
        <v>0</v>
      </c>
      <c r="E14" s="146" t="b">
        <v>0</v>
      </c>
      <c r="F14" s="148" t="b">
        <v>0</v>
      </c>
      <c r="G14" s="146" t="b">
        <v>0</v>
      </c>
      <c r="H14" s="149"/>
    </row>
    <row r="15">
      <c r="A15" s="144">
        <f t="shared" si="2"/>
        <v>3</v>
      </c>
      <c r="B15" s="145" t="s">
        <v>193</v>
      </c>
      <c r="C15" s="13"/>
      <c r="D15" s="146" t="b">
        <v>0</v>
      </c>
      <c r="E15" s="146" t="b">
        <v>0</v>
      </c>
      <c r="F15" s="148" t="b">
        <v>0</v>
      </c>
      <c r="G15" s="146" t="b">
        <v>0</v>
      </c>
      <c r="H15" s="149" t="s">
        <v>194</v>
      </c>
    </row>
    <row r="16">
      <c r="A16" s="144">
        <f t="shared" si="2"/>
        <v>4</v>
      </c>
      <c r="B16" s="150" t="s">
        <v>195</v>
      </c>
      <c r="C16" s="13"/>
      <c r="D16" s="151" t="s">
        <v>196</v>
      </c>
      <c r="E16" s="151" t="s">
        <v>196</v>
      </c>
      <c r="F16" s="148" t="b">
        <v>0</v>
      </c>
      <c r="G16" s="146" t="b">
        <v>0</v>
      </c>
      <c r="H16" s="149"/>
    </row>
    <row r="17">
      <c r="A17" s="144">
        <f t="shared" si="2"/>
        <v>5</v>
      </c>
      <c r="B17" s="152" t="s">
        <v>197</v>
      </c>
      <c r="C17" s="13"/>
      <c r="D17" s="153" t="s">
        <v>196</v>
      </c>
      <c r="E17" s="153" t="s">
        <v>196</v>
      </c>
      <c r="F17" s="154" t="b">
        <v>0</v>
      </c>
      <c r="G17" s="155" t="b">
        <v>0</v>
      </c>
      <c r="H17" s="156"/>
    </row>
    <row r="18">
      <c r="A18" s="144">
        <f t="shared" si="2"/>
        <v>6</v>
      </c>
      <c r="B18" s="152" t="s">
        <v>198</v>
      </c>
      <c r="C18" s="13"/>
      <c r="D18" s="157" t="s">
        <v>196</v>
      </c>
      <c r="E18" s="153" t="s">
        <v>196</v>
      </c>
      <c r="F18" s="155" t="b">
        <v>0</v>
      </c>
      <c r="G18" s="155" t="s">
        <v>196</v>
      </c>
      <c r="H18" s="156" t="s">
        <v>199</v>
      </c>
    </row>
    <row r="19">
      <c r="A19" s="144">
        <f t="shared" si="2"/>
        <v>7</v>
      </c>
      <c r="B19" s="158" t="s">
        <v>200</v>
      </c>
      <c r="C19" s="13"/>
      <c r="D19" s="153" t="s">
        <v>196</v>
      </c>
      <c r="E19" s="153" t="s">
        <v>196</v>
      </c>
      <c r="F19" s="154" t="b">
        <v>0</v>
      </c>
      <c r="G19" s="155" t="b">
        <v>0</v>
      </c>
      <c r="H19" s="156"/>
    </row>
    <row r="20">
      <c r="A20" s="144">
        <f t="shared" si="2"/>
        <v>8</v>
      </c>
      <c r="B20" s="159" t="s">
        <v>201</v>
      </c>
      <c r="C20" s="13"/>
      <c r="D20" s="153" t="s">
        <v>196</v>
      </c>
      <c r="E20" s="153" t="s">
        <v>196</v>
      </c>
      <c r="F20" s="154" t="b">
        <v>0</v>
      </c>
      <c r="G20" s="155" t="s">
        <v>196</v>
      </c>
      <c r="H20" s="156"/>
    </row>
    <row r="21">
      <c r="A21" s="144">
        <f t="shared" si="2"/>
        <v>9</v>
      </c>
      <c r="B21" s="160" t="s">
        <v>202</v>
      </c>
      <c r="C21" s="13"/>
      <c r="D21" s="148" t="b">
        <v>0</v>
      </c>
      <c r="E21" s="151" t="s">
        <v>196</v>
      </c>
      <c r="F21" s="154" t="b">
        <v>0</v>
      </c>
      <c r="G21" s="155" t="s">
        <v>196</v>
      </c>
      <c r="H21" s="149"/>
    </row>
    <row r="22">
      <c r="A22" s="144">
        <f t="shared" si="2"/>
        <v>10</v>
      </c>
      <c r="B22" s="161" t="s">
        <v>203</v>
      </c>
      <c r="C22" s="13"/>
      <c r="D22" s="155" t="s">
        <v>196</v>
      </c>
      <c r="E22" s="154" t="b">
        <v>0</v>
      </c>
      <c r="F22" s="154" t="b">
        <v>0</v>
      </c>
      <c r="G22" s="155" t="s">
        <v>196</v>
      </c>
      <c r="H22" s="149"/>
    </row>
    <row r="23">
      <c r="A23" s="144">
        <f t="shared" si="2"/>
        <v>11</v>
      </c>
      <c r="B23" s="161" t="s">
        <v>204</v>
      </c>
      <c r="C23" s="13"/>
      <c r="D23" s="148" t="b">
        <v>0</v>
      </c>
      <c r="E23" s="151" t="s">
        <v>196</v>
      </c>
      <c r="F23" s="154" t="b">
        <v>0</v>
      </c>
      <c r="G23" s="155" t="s">
        <v>196</v>
      </c>
      <c r="H23" s="149"/>
    </row>
    <row r="24">
      <c r="A24" s="144">
        <f t="shared" si="2"/>
        <v>12</v>
      </c>
      <c r="B24" s="161" t="s">
        <v>205</v>
      </c>
      <c r="C24" s="13"/>
      <c r="D24" s="148" t="b">
        <v>0</v>
      </c>
      <c r="E24" s="151" t="s">
        <v>196</v>
      </c>
      <c r="F24" s="154" t="b">
        <v>0</v>
      </c>
      <c r="G24" s="155" t="s">
        <v>196</v>
      </c>
      <c r="H24" s="149"/>
    </row>
    <row r="25">
      <c r="A25" s="144">
        <f t="shared" si="2"/>
        <v>13</v>
      </c>
      <c r="B25" s="160" t="s">
        <v>206</v>
      </c>
      <c r="C25" s="13"/>
      <c r="D25" s="148" t="b">
        <v>0</v>
      </c>
      <c r="E25" s="151" t="s">
        <v>196</v>
      </c>
      <c r="F25" s="154" t="b">
        <v>0</v>
      </c>
      <c r="G25" s="155" t="s">
        <v>196</v>
      </c>
      <c r="H25" s="149"/>
    </row>
    <row r="26">
      <c r="A26" s="144">
        <f t="shared" si="2"/>
        <v>14</v>
      </c>
      <c r="B26" s="150" t="s">
        <v>207</v>
      </c>
      <c r="C26" s="13"/>
      <c r="D26" s="151" t="s">
        <v>196</v>
      </c>
      <c r="E26" s="151" t="s">
        <v>196</v>
      </c>
      <c r="F26" s="154" t="b">
        <v>0</v>
      </c>
      <c r="G26" s="154" t="b">
        <v>0</v>
      </c>
      <c r="H26" s="149" t="s">
        <v>208</v>
      </c>
    </row>
    <row r="27">
      <c r="A27" s="144">
        <f t="shared" si="2"/>
        <v>15</v>
      </c>
      <c r="B27" s="162" t="s">
        <v>209</v>
      </c>
      <c r="C27" s="13"/>
      <c r="D27" s="148" t="b">
        <v>0</v>
      </c>
      <c r="E27" s="148" t="b">
        <v>0</v>
      </c>
      <c r="F27" s="148" t="b">
        <v>0</v>
      </c>
      <c r="G27" s="148" t="b">
        <v>0</v>
      </c>
      <c r="H27" s="149"/>
    </row>
    <row r="28">
      <c r="A28" s="144">
        <f t="shared" si="2"/>
        <v>16</v>
      </c>
      <c r="B28" s="161" t="s">
        <v>210</v>
      </c>
      <c r="C28" s="13"/>
      <c r="D28" s="148" t="b">
        <v>0</v>
      </c>
      <c r="E28" s="148" t="b">
        <v>0</v>
      </c>
      <c r="F28" s="148" t="s">
        <v>196</v>
      </c>
      <c r="G28" s="148" t="s">
        <v>196</v>
      </c>
      <c r="H28" s="149"/>
    </row>
    <row r="29">
      <c r="A29" s="144">
        <f t="shared" si="2"/>
        <v>17</v>
      </c>
      <c r="B29" s="163" t="s">
        <v>211</v>
      </c>
      <c r="C29" s="13"/>
      <c r="D29" s="151" t="s">
        <v>196</v>
      </c>
      <c r="E29" s="151" t="s">
        <v>196</v>
      </c>
      <c r="F29" s="155" t="s">
        <v>196</v>
      </c>
      <c r="G29" s="148" t="b">
        <v>0</v>
      </c>
      <c r="H29" s="149"/>
    </row>
    <row r="30">
      <c r="A30" s="144">
        <f t="shared" si="2"/>
        <v>18</v>
      </c>
      <c r="B30" s="163" t="s">
        <v>212</v>
      </c>
      <c r="C30" s="13"/>
      <c r="D30" s="151" t="s">
        <v>196</v>
      </c>
      <c r="E30" s="148" t="b">
        <v>0</v>
      </c>
      <c r="F30" s="148" t="b">
        <v>0</v>
      </c>
      <c r="G30" s="155" t="s">
        <v>196</v>
      </c>
      <c r="H30" s="149"/>
    </row>
    <row r="31">
      <c r="A31" s="144">
        <f t="shared" si="2"/>
        <v>19</v>
      </c>
      <c r="B31" s="161" t="s">
        <v>213</v>
      </c>
      <c r="C31" s="13"/>
      <c r="D31" s="151" t="s">
        <v>196</v>
      </c>
      <c r="E31" s="151" t="s">
        <v>196</v>
      </c>
      <c r="F31" s="146" t="b">
        <v>0</v>
      </c>
      <c r="G31" s="146" t="b">
        <v>0</v>
      </c>
      <c r="H31" s="149"/>
    </row>
    <row r="32">
      <c r="A32" s="144">
        <f t="shared" si="2"/>
        <v>20</v>
      </c>
      <c r="B32" s="160" t="s">
        <v>214</v>
      </c>
      <c r="C32" s="13"/>
      <c r="D32" s="151" t="s">
        <v>196</v>
      </c>
      <c r="E32" s="151" t="s">
        <v>196</v>
      </c>
      <c r="F32" s="151" t="s">
        <v>196</v>
      </c>
      <c r="G32" s="154" t="b">
        <v>0</v>
      </c>
      <c r="H32" s="149"/>
    </row>
    <row r="33">
      <c r="A33" s="144">
        <f t="shared" si="2"/>
        <v>21</v>
      </c>
      <c r="B33" s="160" t="s">
        <v>215</v>
      </c>
      <c r="C33" s="13"/>
      <c r="D33" s="151" t="s">
        <v>196</v>
      </c>
      <c r="E33" s="151" t="s">
        <v>196</v>
      </c>
      <c r="F33" s="151" t="s">
        <v>196</v>
      </c>
      <c r="G33" s="154" t="b">
        <v>0</v>
      </c>
      <c r="H33" s="149"/>
    </row>
    <row r="34">
      <c r="A34" s="144">
        <f t="shared" si="2"/>
        <v>22</v>
      </c>
      <c r="B34" s="160" t="s">
        <v>216</v>
      </c>
      <c r="C34" s="13"/>
      <c r="D34" s="151" t="s">
        <v>196</v>
      </c>
      <c r="E34" s="151" t="s">
        <v>196</v>
      </c>
      <c r="F34" s="151" t="s">
        <v>196</v>
      </c>
      <c r="G34" s="154" t="b">
        <v>0</v>
      </c>
      <c r="H34" s="149"/>
    </row>
    <row r="35">
      <c r="A35" s="144">
        <f t="shared" si="2"/>
        <v>23</v>
      </c>
      <c r="B35" s="160" t="s">
        <v>217</v>
      </c>
      <c r="C35" s="13"/>
      <c r="D35" s="148" t="b">
        <v>0</v>
      </c>
      <c r="E35" s="151" t="s">
        <v>196</v>
      </c>
      <c r="F35" s="151" t="s">
        <v>196</v>
      </c>
      <c r="G35" s="151" t="s">
        <v>196</v>
      </c>
      <c r="H35" s="149" t="s">
        <v>218</v>
      </c>
    </row>
    <row r="36">
      <c r="A36" s="144">
        <f t="shared" si="2"/>
        <v>24</v>
      </c>
      <c r="B36" s="161" t="s">
        <v>219</v>
      </c>
      <c r="C36" s="13"/>
      <c r="D36" s="148" t="b">
        <v>0</v>
      </c>
      <c r="E36" s="151" t="s">
        <v>196</v>
      </c>
      <c r="F36" s="151" t="s">
        <v>196</v>
      </c>
      <c r="G36" s="151" t="s">
        <v>196</v>
      </c>
      <c r="H36" s="149" t="s">
        <v>220</v>
      </c>
    </row>
    <row r="37">
      <c r="A37" s="144">
        <f t="shared" si="2"/>
        <v>25</v>
      </c>
      <c r="B37" s="161" t="s">
        <v>221</v>
      </c>
      <c r="C37" s="13"/>
      <c r="D37" s="148" t="b">
        <v>0</v>
      </c>
      <c r="E37" s="151" t="s">
        <v>196</v>
      </c>
      <c r="F37" s="151" t="s">
        <v>196</v>
      </c>
      <c r="G37" s="151" t="s">
        <v>196</v>
      </c>
      <c r="H37" s="149" t="s">
        <v>222</v>
      </c>
    </row>
    <row r="38">
      <c r="A38" s="144">
        <f t="shared" si="2"/>
        <v>26</v>
      </c>
      <c r="B38" s="161" t="s">
        <v>223</v>
      </c>
      <c r="C38" s="13"/>
      <c r="D38" s="148" t="b">
        <v>0</v>
      </c>
      <c r="E38" s="151" t="s">
        <v>196</v>
      </c>
      <c r="F38" s="151" t="s">
        <v>196</v>
      </c>
      <c r="G38" s="151" t="s">
        <v>196</v>
      </c>
      <c r="H38" s="149" t="s">
        <v>224</v>
      </c>
    </row>
    <row r="39">
      <c r="A39" s="144">
        <f t="shared" si="2"/>
        <v>27</v>
      </c>
      <c r="B39" s="161" t="s">
        <v>225</v>
      </c>
      <c r="C39" s="13"/>
      <c r="D39" s="154" t="b">
        <v>0</v>
      </c>
      <c r="E39" s="153" t="s">
        <v>196</v>
      </c>
      <c r="F39" s="153" t="s">
        <v>196</v>
      </c>
      <c r="G39" s="153" t="s">
        <v>196</v>
      </c>
      <c r="H39" s="156" t="s">
        <v>226</v>
      </c>
    </row>
    <row r="40">
      <c r="A40" s="144">
        <f t="shared" si="2"/>
        <v>28</v>
      </c>
      <c r="B40" s="160" t="s">
        <v>227</v>
      </c>
      <c r="C40" s="13"/>
      <c r="D40" s="148" t="b">
        <v>0</v>
      </c>
      <c r="E40" s="151" t="s">
        <v>196</v>
      </c>
      <c r="F40" s="151" t="s">
        <v>196</v>
      </c>
      <c r="G40" s="151" t="s">
        <v>196</v>
      </c>
      <c r="H40" s="149" t="s">
        <v>228</v>
      </c>
    </row>
    <row r="41">
      <c r="A41" s="144">
        <f t="shared" si="2"/>
        <v>29</v>
      </c>
      <c r="B41" s="160" t="s">
        <v>229</v>
      </c>
      <c r="C41" s="13"/>
      <c r="D41" s="164" t="s">
        <v>196</v>
      </c>
      <c r="E41" s="165" t="s">
        <v>196</v>
      </c>
      <c r="F41" s="166" t="b">
        <v>0</v>
      </c>
      <c r="G41" s="166" t="b">
        <v>0</v>
      </c>
      <c r="H41" s="149"/>
    </row>
    <row r="42">
      <c r="A42" s="144">
        <f t="shared" si="2"/>
        <v>30</v>
      </c>
      <c r="B42" s="163" t="s">
        <v>230</v>
      </c>
      <c r="C42" s="13"/>
      <c r="D42" s="148" t="b">
        <v>0</v>
      </c>
      <c r="E42" s="151" t="s">
        <v>196</v>
      </c>
      <c r="F42" s="151" t="s">
        <v>196</v>
      </c>
      <c r="G42" s="151" t="s">
        <v>196</v>
      </c>
      <c r="H42" s="149"/>
    </row>
    <row r="43">
      <c r="A43" s="144">
        <f t="shared" si="2"/>
        <v>31</v>
      </c>
      <c r="B43" s="160" t="s">
        <v>231</v>
      </c>
      <c r="C43" s="13"/>
      <c r="D43" s="148" t="b">
        <v>0</v>
      </c>
      <c r="E43" s="148" t="b">
        <v>0</v>
      </c>
      <c r="F43" s="148" t="b">
        <v>0</v>
      </c>
      <c r="G43" s="148" t="b">
        <v>0</v>
      </c>
      <c r="H43" s="149"/>
    </row>
    <row r="44">
      <c r="A44" s="144">
        <f t="shared" si="2"/>
        <v>32</v>
      </c>
      <c r="B44" s="160" t="s">
        <v>232</v>
      </c>
      <c r="C44" s="13"/>
      <c r="D44" s="154" t="b">
        <v>0</v>
      </c>
      <c r="E44" s="151" t="s">
        <v>196</v>
      </c>
      <c r="F44" s="151" t="s">
        <v>196</v>
      </c>
      <c r="G44" s="151" t="s">
        <v>196</v>
      </c>
      <c r="H44" s="149"/>
    </row>
    <row r="45">
      <c r="A45" s="144">
        <f t="shared" si="2"/>
        <v>33</v>
      </c>
      <c r="B45" s="150" t="s">
        <v>233</v>
      </c>
      <c r="C45" s="13"/>
      <c r="D45" s="148" t="b">
        <v>0</v>
      </c>
      <c r="E45" s="148" t="b">
        <v>0</v>
      </c>
      <c r="F45" s="148" t="b">
        <v>0</v>
      </c>
      <c r="G45" s="154" t="b">
        <v>0</v>
      </c>
      <c r="H45" s="149"/>
    </row>
    <row r="46">
      <c r="A46" s="144">
        <v>34.0</v>
      </c>
      <c r="B46" s="150" t="s">
        <v>234</v>
      </c>
      <c r="C46" s="13"/>
      <c r="D46" s="148" t="b">
        <v>0</v>
      </c>
      <c r="E46" s="148" t="b">
        <v>0</v>
      </c>
      <c r="F46" s="148" t="b">
        <v>0</v>
      </c>
      <c r="G46" s="154" t="b">
        <v>0</v>
      </c>
      <c r="H46" s="149"/>
    </row>
    <row r="47">
      <c r="A47" s="144" t="s">
        <v>235</v>
      </c>
      <c r="B47" s="167" t="s">
        <v>236</v>
      </c>
      <c r="C47" s="13"/>
      <c r="D47" s="148"/>
      <c r="E47" s="148"/>
      <c r="F47" s="148"/>
      <c r="G47" s="148"/>
      <c r="H47" s="149"/>
    </row>
    <row r="48">
      <c r="A48" s="168" t="s">
        <v>237</v>
      </c>
      <c r="B48" s="169"/>
      <c r="C48" s="169"/>
      <c r="D48" s="67" t="s">
        <v>181</v>
      </c>
      <c r="E48" s="67" t="s">
        <v>182</v>
      </c>
      <c r="F48" s="67" t="s">
        <v>183</v>
      </c>
      <c r="G48" s="67" t="s">
        <v>184</v>
      </c>
      <c r="H48" s="170"/>
    </row>
    <row r="49">
      <c r="A49" s="171">
        <f t="shared" ref="A49:A53" si="3">ROW()-ROW($A$14)</f>
        <v>35</v>
      </c>
      <c r="B49" s="160" t="s">
        <v>238</v>
      </c>
      <c r="C49" s="13"/>
      <c r="D49" s="144" t="b">
        <v>0</v>
      </c>
      <c r="E49" s="144" t="b">
        <v>0</v>
      </c>
      <c r="F49" s="144" t="b">
        <v>0</v>
      </c>
      <c r="G49" s="154" t="b">
        <v>0</v>
      </c>
      <c r="H49" s="149" t="s">
        <v>239</v>
      </c>
    </row>
    <row r="50">
      <c r="A50" s="171">
        <f t="shared" si="3"/>
        <v>36</v>
      </c>
      <c r="B50" s="160" t="s">
        <v>240</v>
      </c>
      <c r="C50" s="13"/>
      <c r="D50" s="172" t="s">
        <v>196</v>
      </c>
      <c r="E50" s="172" t="s">
        <v>196</v>
      </c>
      <c r="F50" s="144" t="b">
        <v>0</v>
      </c>
      <c r="G50" s="154" t="b">
        <v>0</v>
      </c>
      <c r="H50" s="149"/>
    </row>
    <row r="51">
      <c r="A51" s="171">
        <f t="shared" si="3"/>
        <v>37</v>
      </c>
      <c r="B51" s="160" t="s">
        <v>241</v>
      </c>
      <c r="C51" s="13"/>
      <c r="D51" s="172" t="s">
        <v>196</v>
      </c>
      <c r="E51" s="172" t="s">
        <v>196</v>
      </c>
      <c r="F51" s="144" t="s">
        <v>196</v>
      </c>
      <c r="G51" s="154" t="b">
        <v>0</v>
      </c>
      <c r="H51" s="149" t="s">
        <v>242</v>
      </c>
    </row>
    <row r="52">
      <c r="A52" s="171">
        <f t="shared" si="3"/>
        <v>38</v>
      </c>
      <c r="B52" s="160" t="s">
        <v>243</v>
      </c>
      <c r="C52" s="13"/>
      <c r="D52" s="144" t="b">
        <v>0</v>
      </c>
      <c r="E52" s="172" t="s">
        <v>196</v>
      </c>
      <c r="F52" s="172" t="s">
        <v>196</v>
      </c>
      <c r="G52" s="172" t="s">
        <v>196</v>
      </c>
      <c r="H52" s="149" t="s">
        <v>244</v>
      </c>
    </row>
    <row r="53">
      <c r="A53" s="171">
        <f t="shared" si="3"/>
        <v>39</v>
      </c>
      <c r="B53" s="160" t="s">
        <v>245</v>
      </c>
      <c r="C53" s="13"/>
      <c r="D53" s="144" t="b">
        <v>0</v>
      </c>
      <c r="E53" s="172" t="s">
        <v>196</v>
      </c>
      <c r="F53" s="172" t="s">
        <v>196</v>
      </c>
      <c r="G53" s="172" t="s">
        <v>196</v>
      </c>
      <c r="H53" s="149"/>
    </row>
    <row r="54">
      <c r="A54" s="144" t="s">
        <v>235</v>
      </c>
      <c r="B54" s="160" t="s">
        <v>86</v>
      </c>
      <c r="C54" s="13"/>
      <c r="D54" s="144"/>
      <c r="E54" s="172"/>
      <c r="F54" s="172"/>
      <c r="G54" s="172"/>
      <c r="H54" s="149"/>
    </row>
    <row r="55">
      <c r="A55" s="168" t="s">
        <v>246</v>
      </c>
      <c r="B55" s="169"/>
      <c r="C55" s="169"/>
      <c r="D55" s="67" t="s">
        <v>181</v>
      </c>
      <c r="E55" s="67" t="s">
        <v>182</v>
      </c>
      <c r="F55" s="67" t="s">
        <v>183</v>
      </c>
      <c r="G55" s="67" t="s">
        <v>184</v>
      </c>
      <c r="H55" s="170"/>
    </row>
    <row r="56">
      <c r="A56" s="171">
        <f t="shared" ref="A56:A61" si="4">ROW()-ROW($A$16)</f>
        <v>40</v>
      </c>
      <c r="B56" s="173" t="s">
        <v>247</v>
      </c>
      <c r="C56" s="13"/>
      <c r="D56" s="144" t="b">
        <v>0</v>
      </c>
      <c r="E56" s="144" t="b">
        <v>0</v>
      </c>
      <c r="F56" s="155" t="s">
        <v>196</v>
      </c>
      <c r="G56" s="155" t="s">
        <v>196</v>
      </c>
      <c r="H56" s="149" t="s">
        <v>248</v>
      </c>
    </row>
    <row r="57">
      <c r="A57" s="171">
        <f t="shared" si="4"/>
        <v>41</v>
      </c>
      <c r="B57" s="173" t="s">
        <v>249</v>
      </c>
      <c r="C57" s="13"/>
      <c r="D57" s="144" t="b">
        <v>0</v>
      </c>
      <c r="E57" s="144" t="b">
        <v>0</v>
      </c>
      <c r="F57" s="144" t="b">
        <v>0</v>
      </c>
      <c r="G57" s="154" t="b">
        <v>0</v>
      </c>
      <c r="H57" s="149" t="s">
        <v>250</v>
      </c>
    </row>
    <row r="58">
      <c r="A58" s="171">
        <f t="shared" si="4"/>
        <v>42</v>
      </c>
      <c r="B58" s="173" t="s">
        <v>251</v>
      </c>
      <c r="C58" s="13"/>
      <c r="D58" s="144" t="b">
        <v>0</v>
      </c>
      <c r="E58" s="144" t="b">
        <v>0</v>
      </c>
      <c r="F58" s="144" t="b">
        <v>0</v>
      </c>
      <c r="G58" s="155" t="s">
        <v>196</v>
      </c>
      <c r="H58" s="149"/>
    </row>
    <row r="59">
      <c r="A59" s="171">
        <f t="shared" si="4"/>
        <v>43</v>
      </c>
      <c r="B59" s="174" t="s">
        <v>252</v>
      </c>
      <c r="C59" s="13"/>
      <c r="D59" s="75" t="b">
        <v>0</v>
      </c>
      <c r="E59" s="75" t="b">
        <v>0</v>
      </c>
      <c r="F59" s="75" t="b">
        <v>0</v>
      </c>
      <c r="G59" s="154" t="b">
        <v>0</v>
      </c>
      <c r="H59" s="156"/>
    </row>
    <row r="60">
      <c r="A60" s="171">
        <f t="shared" si="4"/>
        <v>44</v>
      </c>
      <c r="B60" s="173" t="s">
        <v>253</v>
      </c>
      <c r="C60" s="13"/>
      <c r="D60" s="172" t="s">
        <v>196</v>
      </c>
      <c r="E60" s="172" t="s">
        <v>196</v>
      </c>
      <c r="F60" s="144" t="b">
        <v>0</v>
      </c>
      <c r="G60" s="154" t="b">
        <v>0</v>
      </c>
      <c r="H60" s="149"/>
    </row>
    <row r="61">
      <c r="A61" s="171">
        <f t="shared" si="4"/>
        <v>45</v>
      </c>
      <c r="B61" s="173" t="s">
        <v>254</v>
      </c>
      <c r="C61" s="13"/>
      <c r="D61" s="144" t="b">
        <v>0</v>
      </c>
      <c r="E61" s="144" t="b">
        <v>0</v>
      </c>
      <c r="F61" s="144" t="b">
        <v>0</v>
      </c>
      <c r="G61" s="154" t="b">
        <v>0</v>
      </c>
      <c r="H61" s="149"/>
    </row>
    <row r="62">
      <c r="A62" s="144" t="s">
        <v>235</v>
      </c>
      <c r="B62" s="173" t="s">
        <v>69</v>
      </c>
      <c r="C62" s="13"/>
      <c r="D62" s="144"/>
      <c r="E62" s="144"/>
      <c r="F62" s="144"/>
      <c r="G62" s="144"/>
      <c r="H62" s="149"/>
    </row>
    <row r="63">
      <c r="A63" s="88"/>
      <c r="B63" s="88"/>
      <c r="C63" s="88"/>
      <c r="D63" s="175"/>
      <c r="E63" s="88"/>
      <c r="F63" s="88"/>
      <c r="G63" s="88"/>
      <c r="H63" s="90"/>
    </row>
  </sheetData>
  <customSheetViews>
    <customSheetView guid="{6FB47249-8F10-422E-9EEC-45B41AAAA7DB}" filter="1" showAutoFilter="1">
      <autoFilter ref="$A$12:$H$62">
        <filterColumn colId="3">
          <filters>
            <filter val="FALSE"/>
          </filters>
        </filterColumn>
      </autoFilter>
    </customSheetView>
    <customSheetView guid="{2B0FA1FA-3EB9-4CB3-8A37-2E13F9D8D377}" filter="1" showAutoFilter="1">
      <autoFilter ref="$A$11:$H$61">
        <filterColumn colId="4">
          <filters blank="1">
            <filter val="Frontend"/>
            <filter val="FALSE"/>
          </filters>
        </filterColumn>
      </autoFilter>
    </customSheetView>
    <customSheetView guid="{9902FBB8-219D-4D07-BC5D-61D4EBEDB706}" filter="1" showAutoFilter="1">
      <autoFilter ref="$A$11:$H$61">
        <filterColumn colId="3">
          <filters blank="1">
            <filter val="Backend"/>
            <filter val="FALSE"/>
          </filters>
        </filterColumn>
      </autoFilter>
    </customSheetView>
    <customSheetView guid="{D8FE823B-EE22-4BA3-BDE8-5D86388E4C04}" filter="1" showAutoFilter="1">
      <autoFilter ref="$A$11:$H$62">
        <filterColumn colId="6">
          <filters blank="1">
            <filter val="FALSE"/>
            <filter val="Android"/>
          </filters>
        </filterColumn>
      </autoFilter>
    </customSheetView>
    <customSheetView guid="{B08F0C95-0871-49FA-A7B6-15E9A8B505F3}" filter="1" showAutoFilter="1">
      <autoFilter ref="$A$11:$H$61">
        <filterColumn colId="5">
          <filters blank="1">
            <filter val="FALSE"/>
            <filter val="iOS"/>
          </filters>
        </filterColumn>
      </autoFilter>
    </customSheetView>
  </customSheetViews>
  <mergeCells count="55">
    <mergeCell ref="A1:B3"/>
    <mergeCell ref="C1:G3"/>
    <mergeCell ref="A4:G4"/>
    <mergeCell ref="A8:C8"/>
    <mergeCell ref="A9:C9"/>
    <mergeCell ref="B11:C11"/>
    <mergeCell ref="D11:G11"/>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57:C57"/>
    <mergeCell ref="B58:C58"/>
    <mergeCell ref="B59:C59"/>
    <mergeCell ref="B60:C60"/>
    <mergeCell ref="B61:C61"/>
    <mergeCell ref="B62:C62"/>
    <mergeCell ref="B49:C49"/>
    <mergeCell ref="B50:C50"/>
    <mergeCell ref="B51:C51"/>
    <mergeCell ref="B52:C52"/>
    <mergeCell ref="B53:C53"/>
    <mergeCell ref="B54:C54"/>
    <mergeCell ref="B56:C56"/>
  </mergeCells>
  <hyperlinks>
    <hyperlink r:id="rId1" ref="B1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 customWidth="1" min="2" max="2" width="32.13"/>
    <col customWidth="1" min="3" max="3" width="16.13"/>
    <col customWidth="1" min="4" max="4" width="48.5"/>
    <col customWidth="1" min="5" max="5" width="12.63"/>
    <col customWidth="1" min="6" max="6" width="26.88"/>
    <col customWidth="1" min="7" max="7" width="12.0"/>
  </cols>
  <sheetData>
    <row r="1">
      <c r="A1" s="40"/>
      <c r="B1" s="5"/>
      <c r="C1" s="41" t="s">
        <v>0</v>
      </c>
      <c r="D1" s="2"/>
      <c r="E1" s="5"/>
      <c r="F1" s="42" t="s">
        <v>1</v>
      </c>
      <c r="G1" s="13"/>
      <c r="H1" s="43"/>
    </row>
    <row r="2">
      <c r="A2" s="6"/>
      <c r="B2" s="8"/>
      <c r="C2" s="6"/>
      <c r="E2" s="8"/>
      <c r="F2" s="44" t="s">
        <v>2</v>
      </c>
      <c r="G2" s="13"/>
      <c r="H2" s="43"/>
    </row>
    <row r="3">
      <c r="A3" s="45"/>
      <c r="B3" s="10"/>
      <c r="C3" s="45"/>
      <c r="D3" s="46"/>
      <c r="E3" s="10"/>
      <c r="F3" s="44" t="s">
        <v>3</v>
      </c>
      <c r="G3" s="13"/>
      <c r="H3" s="43"/>
    </row>
    <row r="4">
      <c r="A4" s="47" t="s">
        <v>4</v>
      </c>
      <c r="B4" s="12"/>
      <c r="C4" s="12"/>
      <c r="D4" s="12"/>
      <c r="E4" s="13"/>
      <c r="F4" s="48" t="s">
        <v>5</v>
      </c>
      <c r="G4" s="13"/>
      <c r="H4" s="43"/>
    </row>
    <row r="5">
      <c r="A5" s="49"/>
      <c r="B5" s="49"/>
      <c r="C5" s="49"/>
      <c r="D5" s="49"/>
      <c r="E5" s="49"/>
      <c r="F5" s="49"/>
      <c r="G5" s="49"/>
      <c r="H5" s="43"/>
    </row>
    <row r="6">
      <c r="A6" s="50" t="s">
        <v>24</v>
      </c>
      <c r="B6" s="51"/>
      <c r="C6" s="51"/>
      <c r="D6" s="51"/>
      <c r="E6" s="51"/>
      <c r="F6" s="51"/>
      <c r="G6" s="51"/>
      <c r="H6" s="43"/>
    </row>
    <row r="7">
      <c r="A7" s="52" t="s">
        <v>255</v>
      </c>
      <c r="B7" s="53"/>
      <c r="C7" s="176" t="s">
        <v>256</v>
      </c>
      <c r="D7" s="51"/>
      <c r="E7" s="51"/>
      <c r="F7" s="51"/>
      <c r="G7" s="51"/>
      <c r="H7" s="43"/>
    </row>
    <row r="8">
      <c r="A8" s="56" t="s">
        <v>26</v>
      </c>
      <c r="B8" s="13"/>
      <c r="C8" s="57"/>
      <c r="D8" s="51"/>
      <c r="E8" s="51"/>
      <c r="F8" s="51"/>
      <c r="G8" s="51"/>
      <c r="H8" s="43"/>
    </row>
    <row r="9">
      <c r="A9" s="56" t="s">
        <v>28</v>
      </c>
      <c r="B9" s="13"/>
      <c r="C9" s="58"/>
      <c r="D9" s="51"/>
      <c r="E9" s="51"/>
      <c r="F9" s="51"/>
      <c r="G9" s="51"/>
      <c r="H9" s="43"/>
    </row>
    <row r="10">
      <c r="A10" s="56" t="s">
        <v>30</v>
      </c>
      <c r="B10" s="13"/>
      <c r="C10" s="58"/>
      <c r="D10" s="51"/>
      <c r="E10" s="51"/>
      <c r="F10" s="51"/>
      <c r="G10" s="51"/>
      <c r="H10" s="43"/>
    </row>
    <row r="11">
      <c r="D11" s="51"/>
      <c r="E11" s="51"/>
      <c r="F11" s="51"/>
      <c r="G11" s="51"/>
      <c r="H11" s="43"/>
    </row>
    <row r="12">
      <c r="A12" s="59" t="s">
        <v>32</v>
      </c>
      <c r="B12" s="13"/>
      <c r="C12" s="60"/>
      <c r="D12" s="61" t="s">
        <v>34</v>
      </c>
      <c r="E12" s="62"/>
      <c r="G12" s="51"/>
      <c r="H12" s="43"/>
    </row>
    <row r="13">
      <c r="A13" s="56" t="s">
        <v>36</v>
      </c>
      <c r="B13" s="13"/>
      <c r="C13" s="63"/>
      <c r="D13" s="64"/>
      <c r="E13" s="64"/>
      <c r="G13" s="51"/>
      <c r="H13" s="43"/>
    </row>
    <row r="14">
      <c r="A14" s="51"/>
      <c r="B14" s="51"/>
      <c r="C14" s="51"/>
      <c r="D14" s="51"/>
      <c r="E14" s="51"/>
      <c r="F14" s="51"/>
      <c r="G14" s="51"/>
      <c r="H14" s="43"/>
    </row>
    <row r="15">
      <c r="A15" s="52" t="s">
        <v>257</v>
      </c>
      <c r="B15" s="65"/>
      <c r="C15" s="65"/>
      <c r="D15" s="51"/>
      <c r="E15" s="51"/>
      <c r="F15" s="51"/>
      <c r="G15" s="51"/>
      <c r="H15" s="43"/>
    </row>
    <row r="16">
      <c r="A16" s="66" t="s">
        <v>39</v>
      </c>
      <c r="B16" s="13"/>
      <c r="C16" s="67" t="s">
        <v>40</v>
      </c>
      <c r="D16" s="66" t="s">
        <v>41</v>
      </c>
      <c r="E16" s="12"/>
      <c r="F16" s="13"/>
      <c r="G16" s="67" t="s">
        <v>42</v>
      </c>
      <c r="H16" s="43"/>
    </row>
    <row r="17">
      <c r="A17" s="68"/>
      <c r="B17" s="13"/>
      <c r="C17" s="69"/>
      <c r="D17" s="68"/>
      <c r="E17" s="12"/>
      <c r="F17" s="13"/>
      <c r="G17" s="69" t="b">
        <v>0</v>
      </c>
      <c r="H17" s="43"/>
    </row>
    <row r="18">
      <c r="A18" s="68"/>
      <c r="B18" s="13"/>
      <c r="C18" s="69"/>
      <c r="D18" s="68"/>
      <c r="E18" s="12"/>
      <c r="F18" s="13"/>
      <c r="G18" s="69" t="b">
        <v>0</v>
      </c>
      <c r="H18" s="43"/>
    </row>
    <row r="19">
      <c r="A19" s="68"/>
      <c r="B19" s="13"/>
      <c r="C19" s="69"/>
      <c r="D19" s="68"/>
      <c r="E19" s="12"/>
      <c r="F19" s="13"/>
      <c r="G19" s="70" t="b">
        <v>0</v>
      </c>
      <c r="H19" s="43"/>
    </row>
    <row r="20">
      <c r="A20" s="68" t="s">
        <v>55</v>
      </c>
      <c r="B20" s="13"/>
      <c r="C20" s="69"/>
      <c r="D20" s="68"/>
      <c r="E20" s="12"/>
      <c r="F20" s="13"/>
      <c r="G20" s="70" t="b">
        <v>0</v>
      </c>
      <c r="H20" s="43"/>
    </row>
    <row r="21">
      <c r="A21" s="52"/>
      <c r="B21" s="52"/>
      <c r="C21" s="52"/>
      <c r="D21" s="52"/>
      <c r="E21" s="52"/>
      <c r="F21" s="52"/>
      <c r="G21" s="52"/>
      <c r="H21" s="52"/>
    </row>
    <row r="22">
      <c r="A22" s="52" t="s">
        <v>258</v>
      </c>
    </row>
    <row r="23">
      <c r="A23" s="66" t="s">
        <v>57</v>
      </c>
      <c r="B23" s="13"/>
      <c r="C23" s="66" t="s">
        <v>58</v>
      </c>
      <c r="D23" s="13"/>
      <c r="E23" s="66" t="s">
        <v>59</v>
      </c>
      <c r="F23" s="13"/>
      <c r="G23" s="71" t="s">
        <v>60</v>
      </c>
    </row>
    <row r="24">
      <c r="A24" s="72"/>
      <c r="B24" s="13"/>
      <c r="C24" s="73"/>
      <c r="D24" s="13"/>
      <c r="E24" s="74"/>
      <c r="F24" s="13"/>
      <c r="G24" s="75" t="b">
        <v>0</v>
      </c>
    </row>
    <row r="25">
      <c r="A25" s="72"/>
      <c r="B25" s="13"/>
      <c r="C25" s="177"/>
      <c r="D25" s="13"/>
      <c r="E25" s="74"/>
      <c r="F25" s="13"/>
      <c r="G25" s="75" t="b">
        <v>0</v>
      </c>
    </row>
    <row r="26">
      <c r="A26" s="72"/>
      <c r="B26" s="13"/>
      <c r="C26" s="177"/>
      <c r="D26" s="13"/>
      <c r="E26" s="74"/>
      <c r="F26" s="13"/>
      <c r="G26" s="75" t="b">
        <v>0</v>
      </c>
    </row>
    <row r="27">
      <c r="A27" s="72"/>
      <c r="B27" s="13"/>
      <c r="C27" s="177"/>
      <c r="D27" s="13"/>
      <c r="E27" s="74"/>
      <c r="F27" s="13"/>
      <c r="G27" s="75" t="b">
        <v>0</v>
      </c>
    </row>
    <row r="28">
      <c r="A28" s="72"/>
      <c r="B28" s="13"/>
      <c r="C28" s="77"/>
      <c r="D28" s="13"/>
      <c r="E28" s="74"/>
      <c r="F28" s="13"/>
      <c r="G28" s="75" t="b">
        <v>0</v>
      </c>
    </row>
    <row r="29">
      <c r="A29" s="72" t="s">
        <v>68</v>
      </c>
      <c r="B29" s="13"/>
      <c r="C29" s="77" t="s">
        <v>69</v>
      </c>
      <c r="D29" s="13"/>
      <c r="E29" s="74"/>
      <c r="F29" s="13"/>
      <c r="G29" s="75" t="b">
        <v>0</v>
      </c>
    </row>
    <row r="30">
      <c r="A30" s="51"/>
      <c r="B30" s="51"/>
      <c r="C30" s="51"/>
      <c r="D30" s="51"/>
      <c r="E30" s="51"/>
      <c r="F30" s="51"/>
      <c r="G30" s="51"/>
      <c r="H30" s="43"/>
    </row>
    <row r="31">
      <c r="A31" s="52" t="s">
        <v>70</v>
      </c>
    </row>
    <row r="32">
      <c r="A32" s="78" t="s">
        <v>71</v>
      </c>
      <c r="B32" s="13"/>
      <c r="C32" s="79"/>
      <c r="D32" s="13"/>
      <c r="E32" s="43"/>
      <c r="F32" s="43"/>
      <c r="G32" s="43"/>
      <c r="H32" s="43"/>
    </row>
    <row r="33">
      <c r="A33" s="80" t="s">
        <v>259</v>
      </c>
      <c r="B33" s="13"/>
      <c r="C33" s="81" t="s">
        <v>74</v>
      </c>
      <c r="D33" s="13"/>
      <c r="E33" s="43"/>
      <c r="F33" s="43"/>
      <c r="G33" s="43"/>
      <c r="H33" s="43"/>
    </row>
    <row r="34">
      <c r="A34" s="80" t="s">
        <v>75</v>
      </c>
      <c r="B34" s="13"/>
      <c r="C34" s="74" t="b">
        <v>0</v>
      </c>
      <c r="D34" s="13"/>
      <c r="E34" s="43"/>
      <c r="F34" s="43"/>
      <c r="G34" s="43"/>
      <c r="H34" s="82"/>
    </row>
    <row r="35">
      <c r="A35" s="52"/>
      <c r="B35" s="52"/>
      <c r="C35" s="52"/>
      <c r="D35" s="52"/>
      <c r="E35" s="52"/>
      <c r="F35" s="52"/>
      <c r="G35" s="52"/>
      <c r="H35" s="52"/>
    </row>
    <row r="36">
      <c r="A36" s="52" t="s">
        <v>76</v>
      </c>
    </row>
    <row r="37">
      <c r="A37" s="80" t="s">
        <v>77</v>
      </c>
      <c r="B37" s="13"/>
      <c r="C37" s="79"/>
      <c r="D37" s="13"/>
      <c r="E37" s="43"/>
      <c r="F37" s="43"/>
      <c r="G37" s="43"/>
      <c r="H37" s="43"/>
    </row>
    <row r="38">
      <c r="A38" s="80" t="s">
        <v>73</v>
      </c>
      <c r="B38" s="13"/>
      <c r="C38" s="79"/>
      <c r="D38" s="13"/>
      <c r="E38" s="43"/>
      <c r="F38" s="43"/>
      <c r="G38" s="43"/>
      <c r="H38" s="43"/>
    </row>
    <row r="39">
      <c r="A39" s="80" t="s">
        <v>75</v>
      </c>
      <c r="B39" s="13"/>
      <c r="C39" s="74" t="b">
        <v>0</v>
      </c>
      <c r="D39" s="13"/>
      <c r="E39" s="43"/>
      <c r="F39" s="43"/>
      <c r="G39" s="43"/>
      <c r="H39" s="43"/>
    </row>
    <row r="40">
      <c r="A40" s="51"/>
      <c r="B40" s="51"/>
      <c r="C40" s="51"/>
      <c r="D40" s="51"/>
      <c r="E40" s="51"/>
      <c r="F40" s="51"/>
      <c r="G40" s="51"/>
      <c r="H40" s="43"/>
    </row>
    <row r="41">
      <c r="A41" s="52" t="s">
        <v>260</v>
      </c>
      <c r="D41" s="84"/>
      <c r="E41" s="51"/>
      <c r="F41" s="51"/>
      <c r="G41" s="51"/>
      <c r="H41" s="43"/>
    </row>
    <row r="42">
      <c r="A42" s="66" t="s">
        <v>79</v>
      </c>
      <c r="B42" s="13"/>
      <c r="C42" s="66" t="s">
        <v>58</v>
      </c>
      <c r="D42" s="13"/>
      <c r="E42" s="51"/>
      <c r="F42" s="51"/>
      <c r="G42" s="51"/>
      <c r="H42" s="43"/>
    </row>
    <row r="43">
      <c r="A43" s="72" t="s">
        <v>80</v>
      </c>
      <c r="B43" s="13"/>
      <c r="C43" s="79"/>
      <c r="D43" s="13"/>
      <c r="E43" s="51"/>
      <c r="F43" s="51"/>
      <c r="G43" s="51"/>
      <c r="H43" s="43"/>
    </row>
    <row r="44">
      <c r="A44" s="72" t="s">
        <v>81</v>
      </c>
      <c r="B44" s="13"/>
      <c r="C44" s="79"/>
      <c r="D44" s="13"/>
      <c r="E44" s="51"/>
      <c r="F44" s="51"/>
      <c r="G44" s="51"/>
      <c r="H44" s="43"/>
    </row>
    <row r="45">
      <c r="A45" s="72" t="s">
        <v>82</v>
      </c>
      <c r="B45" s="13"/>
      <c r="C45" s="79"/>
      <c r="D45" s="13"/>
      <c r="E45" s="85"/>
      <c r="F45" s="85"/>
      <c r="G45" s="51"/>
      <c r="H45" s="43"/>
    </row>
    <row r="46">
      <c r="A46" s="86"/>
      <c r="B46" s="51"/>
      <c r="C46" s="51"/>
      <c r="D46" s="51"/>
      <c r="E46" s="51"/>
      <c r="F46" s="51"/>
      <c r="G46" s="51"/>
      <c r="H46" s="43"/>
    </row>
    <row r="47">
      <c r="A47" s="52" t="s">
        <v>83</v>
      </c>
      <c r="D47" s="87"/>
      <c r="H47" s="88"/>
    </row>
    <row r="48">
      <c r="A48" s="67" t="s">
        <v>84</v>
      </c>
      <c r="B48" s="66" t="s">
        <v>79</v>
      </c>
      <c r="C48" s="12"/>
      <c r="D48" s="13"/>
      <c r="H48" s="88"/>
    </row>
    <row r="49">
      <c r="A49" s="89">
        <v>1.0</v>
      </c>
      <c r="B49" s="72"/>
      <c r="C49" s="12"/>
      <c r="D49" s="13"/>
      <c r="H49" s="88"/>
    </row>
    <row r="50">
      <c r="A50" s="89" t="s">
        <v>82</v>
      </c>
      <c r="B50" s="72" t="s">
        <v>86</v>
      </c>
      <c r="C50" s="12"/>
      <c r="D50" s="13"/>
      <c r="H50" s="88"/>
    </row>
    <row r="51">
      <c r="A51" s="52"/>
      <c r="D51" s="90"/>
      <c r="H51" s="88"/>
    </row>
    <row r="52">
      <c r="A52" s="52" t="s">
        <v>87</v>
      </c>
      <c r="D52" s="90"/>
      <c r="H52" s="88"/>
    </row>
    <row r="53">
      <c r="A53" s="67" t="s">
        <v>84</v>
      </c>
      <c r="B53" s="66" t="s">
        <v>88</v>
      </c>
      <c r="C53" s="12"/>
      <c r="D53" s="13"/>
      <c r="E53" s="71" t="s">
        <v>42</v>
      </c>
      <c r="H53" s="88"/>
    </row>
    <row r="54">
      <c r="A54" s="91">
        <v>1.0</v>
      </c>
      <c r="B54" s="68" t="s">
        <v>89</v>
      </c>
      <c r="C54" s="12"/>
      <c r="D54" s="13"/>
      <c r="E54" s="92" t="b">
        <v>0</v>
      </c>
      <c r="H54" s="88"/>
    </row>
    <row r="55">
      <c r="A55" s="91">
        <v>2.0</v>
      </c>
      <c r="B55" s="68" t="s">
        <v>90</v>
      </c>
      <c r="C55" s="12"/>
      <c r="D55" s="13"/>
      <c r="E55" s="92" t="b">
        <v>0</v>
      </c>
      <c r="H55" s="88"/>
    </row>
    <row r="56">
      <c r="A56" s="91">
        <v>3.0</v>
      </c>
      <c r="B56" s="68" t="s">
        <v>91</v>
      </c>
      <c r="C56" s="12"/>
      <c r="D56" s="13"/>
      <c r="E56" s="92" t="b">
        <v>0</v>
      </c>
      <c r="H56" s="88"/>
    </row>
    <row r="57">
      <c r="A57" s="91" t="s">
        <v>69</v>
      </c>
      <c r="B57" s="68" t="s">
        <v>92</v>
      </c>
      <c r="C57" s="12"/>
      <c r="D57" s="13"/>
      <c r="E57" s="92" t="b">
        <v>0</v>
      </c>
      <c r="H57" s="88"/>
    </row>
    <row r="58">
      <c r="H58" s="88"/>
    </row>
    <row r="59">
      <c r="A59" s="52" t="s">
        <v>93</v>
      </c>
      <c r="H59" s="88"/>
    </row>
    <row r="60">
      <c r="A60" s="66" t="s">
        <v>94</v>
      </c>
      <c r="B60" s="13"/>
      <c r="C60" s="66" t="s">
        <v>95</v>
      </c>
      <c r="D60" s="13"/>
      <c r="E60" s="71" t="s">
        <v>42</v>
      </c>
      <c r="G60" s="93"/>
      <c r="H60" s="88"/>
    </row>
    <row r="61">
      <c r="A61" s="94" t="s">
        <v>49</v>
      </c>
      <c r="B61" s="13"/>
      <c r="C61" s="94" t="s">
        <v>96</v>
      </c>
      <c r="D61" s="13"/>
      <c r="E61" s="92" t="b">
        <v>0</v>
      </c>
      <c r="G61" s="95"/>
      <c r="H61" s="88"/>
    </row>
    <row r="62">
      <c r="A62" s="96" t="s">
        <v>97</v>
      </c>
      <c r="B62" s="13"/>
      <c r="C62" s="94" t="s">
        <v>98</v>
      </c>
      <c r="D62" s="13"/>
      <c r="E62" s="92" t="b">
        <v>0</v>
      </c>
      <c r="G62" s="97"/>
      <c r="H62" s="88"/>
    </row>
    <row r="63">
      <c r="A63" s="94" t="s">
        <v>99</v>
      </c>
      <c r="B63" s="13"/>
      <c r="C63" s="94" t="s">
        <v>100</v>
      </c>
      <c r="D63" s="13"/>
      <c r="E63" s="92" t="b">
        <v>0</v>
      </c>
      <c r="G63" s="97"/>
      <c r="H63" s="88"/>
    </row>
    <row r="64">
      <c r="A64" s="94" t="s">
        <v>68</v>
      </c>
      <c r="B64" s="13"/>
      <c r="C64" s="94"/>
      <c r="D64" s="13"/>
      <c r="E64" s="92" t="b">
        <v>0</v>
      </c>
      <c r="G64" s="98"/>
      <c r="H64" s="88"/>
    </row>
    <row r="65">
      <c r="A65" s="51"/>
      <c r="B65" s="51"/>
      <c r="C65" s="51"/>
      <c r="D65" s="51"/>
      <c r="E65" s="51"/>
      <c r="F65" s="51"/>
      <c r="G65" s="51"/>
      <c r="H65" s="43"/>
    </row>
    <row r="66">
      <c r="A66" s="99" t="s">
        <v>261</v>
      </c>
      <c r="B66" s="51"/>
      <c r="C66" s="51"/>
      <c r="D66" s="51"/>
      <c r="E66" s="51"/>
      <c r="F66" s="51"/>
      <c r="G66" s="51"/>
      <c r="H66" s="43"/>
    </row>
    <row r="67">
      <c r="A67" s="100" t="s">
        <v>102</v>
      </c>
      <c r="B67" s="12"/>
      <c r="C67" s="12"/>
      <c r="D67" s="12"/>
      <c r="E67" s="12"/>
      <c r="F67" s="12"/>
      <c r="G67" s="13"/>
      <c r="H67" s="43"/>
    </row>
    <row r="68">
      <c r="A68" s="101" t="s">
        <v>103</v>
      </c>
      <c r="B68" s="101" t="s">
        <v>104</v>
      </c>
      <c r="C68" s="101" t="s">
        <v>105</v>
      </c>
      <c r="D68" s="101" t="s">
        <v>106</v>
      </c>
      <c r="E68" s="102" t="s">
        <v>107</v>
      </c>
      <c r="F68" s="102" t="s">
        <v>108</v>
      </c>
      <c r="G68" s="102" t="s">
        <v>109</v>
      </c>
      <c r="H68" s="43"/>
    </row>
    <row r="69">
      <c r="A69" s="103" t="s">
        <v>110</v>
      </c>
      <c r="B69" s="104"/>
      <c r="C69" s="104"/>
      <c r="D69" s="104"/>
      <c r="E69" s="104"/>
      <c r="F69" s="104"/>
      <c r="G69" s="104"/>
      <c r="H69" s="43"/>
    </row>
    <row r="70">
      <c r="A70" s="105"/>
      <c r="B70" s="106"/>
      <c r="C70" s="107"/>
      <c r="D70" s="106"/>
      <c r="E70" s="107"/>
      <c r="F70" s="107"/>
      <c r="G70" s="109" t="b">
        <v>0</v>
      </c>
      <c r="H70" s="43"/>
    </row>
    <row r="71">
      <c r="A71" s="105"/>
      <c r="B71" s="106"/>
      <c r="C71" s="107"/>
      <c r="D71" s="106"/>
      <c r="E71" s="107"/>
      <c r="F71" s="107"/>
      <c r="G71" s="109" t="b">
        <v>0</v>
      </c>
      <c r="H71" s="43"/>
    </row>
    <row r="72">
      <c r="A72" s="105"/>
      <c r="B72" s="110"/>
      <c r="C72" s="106"/>
      <c r="D72" s="106"/>
      <c r="E72" s="106"/>
      <c r="F72" s="106"/>
      <c r="G72" s="109" t="b">
        <v>0</v>
      </c>
      <c r="H72" s="43"/>
    </row>
    <row r="73">
      <c r="A73" s="105"/>
      <c r="B73" s="110"/>
      <c r="C73" s="106"/>
      <c r="D73" s="106"/>
      <c r="E73" s="106"/>
      <c r="F73" s="106"/>
      <c r="G73" s="109" t="b">
        <v>0</v>
      </c>
      <c r="H73" s="43"/>
    </row>
    <row r="74">
      <c r="A74" s="103" t="s">
        <v>120</v>
      </c>
      <c r="B74" s="111"/>
      <c r="C74" s="111"/>
      <c r="D74" s="111"/>
      <c r="E74" s="111"/>
      <c r="F74" s="111"/>
      <c r="G74" s="111"/>
      <c r="H74" s="43"/>
    </row>
    <row r="75">
      <c r="A75" s="112"/>
      <c r="B75" s="106"/>
      <c r="C75" s="106"/>
      <c r="D75" s="106"/>
      <c r="E75" s="107"/>
      <c r="F75" s="107"/>
      <c r="G75" s="109" t="b">
        <v>0</v>
      </c>
      <c r="H75" s="43"/>
    </row>
    <row r="76">
      <c r="A76" s="105"/>
      <c r="B76" s="106"/>
      <c r="C76" s="106"/>
      <c r="D76" s="106"/>
      <c r="E76" s="107"/>
      <c r="F76" s="107"/>
      <c r="G76" s="109" t="b">
        <v>0</v>
      </c>
      <c r="H76" s="43"/>
    </row>
    <row r="77">
      <c r="A77" s="105"/>
      <c r="B77" s="106"/>
      <c r="C77" s="106"/>
      <c r="D77" s="106"/>
      <c r="E77" s="106"/>
      <c r="F77" s="106"/>
      <c r="G77" s="109" t="b">
        <v>0</v>
      </c>
      <c r="H77" s="43"/>
    </row>
    <row r="78">
      <c r="A78" s="105"/>
      <c r="B78" s="106"/>
      <c r="C78" s="106"/>
      <c r="D78" s="114"/>
      <c r="E78" s="178"/>
      <c r="F78" s="106"/>
      <c r="G78" s="109" t="b">
        <v>0</v>
      </c>
      <c r="H78" s="43"/>
    </row>
    <row r="79">
      <c r="A79" s="103" t="s">
        <v>128</v>
      </c>
      <c r="B79" s="111"/>
      <c r="C79" s="111"/>
      <c r="D79" s="111"/>
      <c r="E79" s="111"/>
      <c r="F79" s="111"/>
      <c r="G79" s="111"/>
      <c r="H79" s="43"/>
    </row>
    <row r="80">
      <c r="A80" s="112"/>
      <c r="B80" s="110"/>
      <c r="C80" s="106"/>
      <c r="D80" s="106"/>
      <c r="E80" s="106"/>
      <c r="F80" s="106"/>
      <c r="G80" s="108" t="b">
        <v>0</v>
      </c>
      <c r="H80" s="43"/>
    </row>
    <row r="81">
      <c r="A81" s="112"/>
      <c r="B81" s="110"/>
      <c r="C81" s="107"/>
      <c r="D81" s="106"/>
      <c r="E81" s="107"/>
      <c r="F81" s="107"/>
      <c r="G81" s="108" t="b">
        <v>0</v>
      </c>
      <c r="H81" s="43"/>
    </row>
    <row r="82">
      <c r="A82" s="112"/>
      <c r="B82" s="110"/>
      <c r="C82" s="107"/>
      <c r="D82" s="106"/>
      <c r="E82" s="107"/>
      <c r="F82" s="107"/>
      <c r="G82" s="109" t="b">
        <v>0</v>
      </c>
      <c r="H82" s="43"/>
    </row>
    <row r="83">
      <c r="A83" s="115" t="s">
        <v>133</v>
      </c>
      <c r="B83" s="111"/>
      <c r="C83" s="111"/>
      <c r="D83" s="111"/>
      <c r="E83" s="111"/>
      <c r="F83" s="111"/>
      <c r="G83" s="111"/>
      <c r="H83" s="43"/>
    </row>
    <row r="84">
      <c r="A84" s="116"/>
      <c r="B84" s="106"/>
      <c r="C84" s="117"/>
      <c r="D84" s="63"/>
      <c r="E84" s="118"/>
      <c r="F84" s="118"/>
      <c r="G84" s="117"/>
      <c r="H84" s="43"/>
    </row>
    <row r="85">
      <c r="A85" s="116"/>
      <c r="B85" s="106"/>
      <c r="C85" s="117"/>
      <c r="D85" s="63"/>
      <c r="E85" s="118"/>
      <c r="F85" s="118"/>
      <c r="G85" s="117"/>
      <c r="H85" s="43"/>
    </row>
    <row r="86">
      <c r="A86" s="116"/>
      <c r="B86" s="106"/>
      <c r="C86" s="117"/>
      <c r="D86" s="63"/>
      <c r="E86" s="118"/>
      <c r="F86" s="118"/>
      <c r="G86" s="117"/>
      <c r="H86" s="43"/>
    </row>
    <row r="87">
      <c r="A87" s="115" t="s">
        <v>139</v>
      </c>
      <c r="B87" s="104"/>
      <c r="C87" s="104"/>
      <c r="D87" s="104"/>
      <c r="E87" s="104"/>
      <c r="F87" s="104"/>
      <c r="G87" s="104"/>
      <c r="H87" s="43"/>
    </row>
    <row r="88">
      <c r="A88" s="116"/>
      <c r="B88" s="106"/>
      <c r="C88" s="117"/>
      <c r="D88" s="63"/>
      <c r="E88" s="118"/>
      <c r="F88" s="118"/>
      <c r="G88" s="117"/>
      <c r="H88" s="43"/>
    </row>
    <row r="89">
      <c r="A89" s="116"/>
      <c r="B89" s="106"/>
      <c r="C89" s="117"/>
      <c r="D89" s="63"/>
      <c r="E89" s="118"/>
      <c r="F89" s="118"/>
      <c r="G89" s="117"/>
      <c r="H89" s="43"/>
    </row>
    <row r="90">
      <c r="A90" s="116"/>
      <c r="B90" s="106"/>
      <c r="C90" s="117"/>
      <c r="D90" s="63"/>
      <c r="E90" s="118"/>
      <c r="F90" s="118"/>
      <c r="G90" s="117"/>
      <c r="H90" s="43"/>
    </row>
    <row r="91">
      <c r="A91" s="112"/>
      <c r="B91" s="110"/>
      <c r="C91" s="106"/>
      <c r="D91" s="106"/>
      <c r="E91" s="107"/>
      <c r="F91" s="107"/>
      <c r="G91" s="109" t="b">
        <v>0</v>
      </c>
      <c r="H91" s="43"/>
    </row>
    <row r="92">
      <c r="A92" s="112"/>
      <c r="B92" s="110"/>
      <c r="C92" s="106"/>
      <c r="D92" s="106"/>
      <c r="E92" s="107"/>
      <c r="F92" s="107"/>
      <c r="G92" s="109" t="b">
        <v>0</v>
      </c>
      <c r="H92" s="43"/>
    </row>
    <row r="93">
      <c r="A93" s="112"/>
      <c r="B93" s="106"/>
      <c r="C93" s="107"/>
      <c r="D93" s="106"/>
      <c r="E93" s="107"/>
      <c r="F93" s="107"/>
      <c r="G93" s="109" t="b">
        <v>0</v>
      </c>
      <c r="H93" s="43"/>
    </row>
    <row r="94">
      <c r="A94" s="115" t="s">
        <v>147</v>
      </c>
      <c r="B94" s="119"/>
      <c r="C94" s="119"/>
      <c r="D94" s="119"/>
      <c r="E94" s="119"/>
      <c r="F94" s="119"/>
      <c r="G94" s="119"/>
      <c r="H94" s="43"/>
    </row>
    <row r="95">
      <c r="A95" s="120"/>
      <c r="B95" s="106"/>
      <c r="C95" s="117"/>
      <c r="D95" s="63"/>
      <c r="E95" s="118"/>
      <c r="F95" s="118"/>
      <c r="G95" s="117"/>
      <c r="H95" s="43"/>
    </row>
    <row r="96">
      <c r="A96" s="116"/>
      <c r="B96" s="106"/>
      <c r="C96" s="117"/>
      <c r="D96" s="63"/>
      <c r="E96" s="118"/>
      <c r="F96" s="118"/>
      <c r="G96" s="117"/>
      <c r="H96" s="43"/>
    </row>
    <row r="97">
      <c r="A97" s="116"/>
      <c r="B97" s="106"/>
      <c r="C97" s="117"/>
      <c r="D97" s="63"/>
      <c r="E97" s="118"/>
      <c r="F97" s="118"/>
      <c r="G97" s="117"/>
      <c r="H97" s="43"/>
    </row>
    <row r="98">
      <c r="A98" s="116"/>
      <c r="B98" s="106"/>
      <c r="C98" s="117"/>
      <c r="D98" s="63"/>
      <c r="E98" s="118"/>
      <c r="F98" s="118"/>
      <c r="G98" s="117"/>
      <c r="H98" s="43"/>
    </row>
    <row r="99">
      <c r="A99" s="116"/>
      <c r="B99" s="106"/>
      <c r="C99" s="117"/>
      <c r="D99" s="63"/>
      <c r="E99" s="118"/>
      <c r="F99" s="118"/>
      <c r="G99" s="117"/>
      <c r="H99" s="43"/>
    </row>
    <row r="100">
      <c r="A100" s="103" t="s">
        <v>154</v>
      </c>
      <c r="B100" s="104"/>
      <c r="C100" s="104"/>
      <c r="D100" s="104"/>
      <c r="E100" s="104"/>
      <c r="F100" s="104"/>
      <c r="G100" s="104"/>
      <c r="H100" s="43"/>
    </row>
    <row r="101">
      <c r="A101" s="112"/>
      <c r="B101" s="106"/>
      <c r="C101" s="107"/>
      <c r="D101" s="114"/>
      <c r="E101" s="179"/>
      <c r="F101" s="107"/>
      <c r="G101" s="109" t="b">
        <v>0</v>
      </c>
      <c r="H101" s="43"/>
    </row>
    <row r="102">
      <c r="A102" s="112"/>
      <c r="B102" s="110"/>
      <c r="C102" s="107"/>
      <c r="D102" s="106"/>
      <c r="E102" s="107"/>
      <c r="F102" s="107"/>
      <c r="G102" s="108" t="b">
        <v>0</v>
      </c>
      <c r="H102" s="43"/>
    </row>
    <row r="103">
      <c r="A103" s="121"/>
      <c r="B103" s="121"/>
      <c r="C103" s="122"/>
      <c r="D103" s="122"/>
      <c r="E103" s="122"/>
      <c r="F103" s="122"/>
      <c r="G103" s="122"/>
      <c r="H103" s="43"/>
    </row>
    <row r="104">
      <c r="A104" s="123" t="s">
        <v>262</v>
      </c>
      <c r="B104" s="124"/>
      <c r="C104" s="124"/>
      <c r="D104" s="124"/>
      <c r="E104" s="124"/>
      <c r="F104" s="124"/>
      <c r="G104" s="124"/>
      <c r="H104" s="43"/>
    </row>
    <row r="105">
      <c r="A105" s="100" t="s">
        <v>102</v>
      </c>
      <c r="B105" s="12"/>
      <c r="C105" s="12"/>
      <c r="D105" s="12"/>
      <c r="E105" s="12"/>
      <c r="F105" s="12"/>
      <c r="G105" s="12"/>
      <c r="H105" s="43"/>
    </row>
    <row r="106">
      <c r="A106" s="101" t="s">
        <v>103</v>
      </c>
      <c r="B106" s="101" t="s">
        <v>104</v>
      </c>
      <c r="C106" s="101" t="s">
        <v>105</v>
      </c>
      <c r="D106" s="101" t="s">
        <v>106</v>
      </c>
      <c r="E106" s="102" t="s">
        <v>107</v>
      </c>
      <c r="F106" s="102" t="s">
        <v>108</v>
      </c>
      <c r="G106" s="102" t="s">
        <v>109</v>
      </c>
      <c r="H106" s="43"/>
    </row>
    <row r="107">
      <c r="A107" s="103" t="s">
        <v>158</v>
      </c>
      <c r="B107" s="104"/>
      <c r="C107" s="104"/>
      <c r="D107" s="104"/>
      <c r="E107" s="104"/>
      <c r="F107" s="104"/>
      <c r="G107" s="104"/>
      <c r="H107" s="43"/>
    </row>
    <row r="108">
      <c r="A108" s="105"/>
      <c r="B108" s="106"/>
      <c r="C108" s="107"/>
      <c r="D108" s="106"/>
      <c r="E108" s="107"/>
      <c r="F108" s="107"/>
      <c r="G108" s="108" t="b">
        <v>1</v>
      </c>
      <c r="H108" s="43"/>
    </row>
    <row r="109">
      <c r="A109" s="105"/>
      <c r="B109" s="125"/>
      <c r="C109" s="107"/>
      <c r="D109" s="106"/>
      <c r="E109" s="107"/>
      <c r="F109" s="107"/>
      <c r="G109" s="109" t="b">
        <v>0</v>
      </c>
      <c r="H109" s="43"/>
    </row>
    <row r="110">
      <c r="A110" s="105"/>
      <c r="B110" s="110"/>
      <c r="C110" s="106"/>
      <c r="D110" s="106"/>
      <c r="E110" s="107"/>
      <c r="F110" s="107"/>
      <c r="G110" s="109" t="b">
        <v>0</v>
      </c>
      <c r="H110" s="43"/>
    </row>
    <row r="111">
      <c r="A111" s="105"/>
      <c r="B111" s="110"/>
      <c r="C111" s="107"/>
      <c r="D111" s="106"/>
      <c r="E111" s="107"/>
      <c r="F111" s="107"/>
      <c r="G111" s="109" t="b">
        <v>0</v>
      </c>
      <c r="H111" s="43"/>
    </row>
    <row r="112">
      <c r="A112" s="103" t="s">
        <v>164</v>
      </c>
      <c r="B112" s="104"/>
      <c r="C112" s="104"/>
      <c r="D112" s="104"/>
      <c r="E112" s="104"/>
      <c r="F112" s="104"/>
      <c r="G112" s="104"/>
      <c r="H112" s="43"/>
    </row>
    <row r="113">
      <c r="A113" s="105"/>
      <c r="B113" s="126"/>
      <c r="C113" s="107"/>
      <c r="D113" s="106"/>
      <c r="E113" s="107"/>
      <c r="F113" s="107"/>
      <c r="G113" s="109" t="b">
        <v>0</v>
      </c>
      <c r="H113" s="43"/>
    </row>
    <row r="114">
      <c r="A114" s="112"/>
      <c r="B114" s="126"/>
      <c r="C114" s="106"/>
      <c r="D114" s="106"/>
      <c r="E114" s="107"/>
      <c r="F114" s="107"/>
      <c r="G114" s="109" t="b">
        <v>0</v>
      </c>
      <c r="H114" s="43"/>
    </row>
    <row r="115">
      <c r="A115" s="112"/>
      <c r="B115" s="106"/>
      <c r="C115" s="106"/>
      <c r="D115" s="106"/>
      <c r="E115" s="107"/>
      <c r="F115" s="107"/>
      <c r="G115" s="109" t="b">
        <v>0</v>
      </c>
      <c r="H115" s="43"/>
    </row>
    <row r="116">
      <c r="A116" s="112"/>
      <c r="B116" s="106"/>
      <c r="C116" s="106"/>
      <c r="D116" s="106"/>
      <c r="E116" s="106"/>
      <c r="F116" s="106"/>
      <c r="G116" s="109" t="b">
        <v>0</v>
      </c>
      <c r="H116" s="43"/>
    </row>
    <row r="117">
      <c r="A117" s="105"/>
      <c r="B117" s="106"/>
      <c r="C117" s="106"/>
      <c r="D117" s="110"/>
      <c r="E117" s="106"/>
      <c r="F117" s="106"/>
      <c r="G117" s="109" t="b">
        <v>0</v>
      </c>
      <c r="H117" s="43"/>
    </row>
    <row r="118">
      <c r="A118" s="105"/>
      <c r="B118" s="125"/>
      <c r="C118" s="106"/>
      <c r="D118" s="114"/>
      <c r="E118" s="178"/>
      <c r="F118" s="106"/>
      <c r="G118" s="109" t="b">
        <v>0</v>
      </c>
      <c r="H118" s="43"/>
    </row>
    <row r="119">
      <c r="A119" s="103" t="s">
        <v>172</v>
      </c>
      <c r="B119" s="104"/>
      <c r="C119" s="104"/>
      <c r="D119" s="104"/>
      <c r="E119" s="104"/>
      <c r="F119" s="104"/>
      <c r="G119" s="104"/>
      <c r="H119" s="43"/>
    </row>
    <row r="120">
      <c r="A120" s="112"/>
      <c r="B120" s="110"/>
      <c r="C120" s="106"/>
      <c r="D120" s="106"/>
      <c r="E120" s="107"/>
      <c r="F120" s="107"/>
      <c r="G120" s="109" t="b">
        <v>0</v>
      </c>
      <c r="H120" s="43"/>
    </row>
    <row r="121">
      <c r="A121" s="112"/>
      <c r="B121" s="110"/>
      <c r="C121" s="107"/>
      <c r="D121" s="106"/>
      <c r="E121" s="107"/>
      <c r="F121" s="107"/>
      <c r="G121" s="109" t="b">
        <v>0</v>
      </c>
      <c r="H121" s="43"/>
    </row>
    <row r="122">
      <c r="A122" s="112"/>
      <c r="B122" s="110"/>
      <c r="C122" s="107"/>
      <c r="D122" s="106"/>
      <c r="E122" s="107"/>
      <c r="F122" s="107"/>
      <c r="G122" s="109" t="b">
        <v>0</v>
      </c>
      <c r="H122" s="43"/>
    </row>
    <row r="123">
      <c r="A123" s="103" t="s">
        <v>139</v>
      </c>
      <c r="B123" s="104"/>
      <c r="C123" s="104"/>
      <c r="D123" s="104"/>
      <c r="E123" s="104"/>
      <c r="F123" s="104"/>
      <c r="G123" s="104"/>
      <c r="H123" s="43"/>
    </row>
    <row r="124">
      <c r="A124" s="112"/>
      <c r="B124" s="114"/>
      <c r="C124" s="106"/>
      <c r="D124" s="106"/>
      <c r="E124" s="107"/>
      <c r="F124" s="107"/>
      <c r="G124" s="109" t="b">
        <v>0</v>
      </c>
      <c r="H124" s="43"/>
    </row>
    <row r="125">
      <c r="A125" s="103" t="s">
        <v>175</v>
      </c>
      <c r="B125" s="104"/>
      <c r="C125" s="104"/>
      <c r="D125" s="104"/>
      <c r="E125" s="104"/>
      <c r="F125" s="104"/>
      <c r="G125" s="104"/>
      <c r="H125" s="43"/>
    </row>
    <row r="126">
      <c r="A126" s="112"/>
      <c r="B126" s="110"/>
      <c r="C126" s="107"/>
      <c r="D126" s="106"/>
      <c r="E126" s="107"/>
      <c r="F126" s="107"/>
      <c r="G126" s="109" t="b">
        <v>0</v>
      </c>
      <c r="H126" s="43"/>
    </row>
    <row r="127">
      <c r="A127" s="112"/>
      <c r="B127" s="110"/>
      <c r="C127" s="106"/>
      <c r="D127" s="106"/>
      <c r="E127" s="107"/>
      <c r="F127" s="107"/>
      <c r="G127" s="109" t="b">
        <v>0</v>
      </c>
      <c r="H127" s="43"/>
    </row>
    <row r="128">
      <c r="A128" s="112"/>
      <c r="B128" s="110"/>
      <c r="C128" s="106"/>
      <c r="D128" s="106"/>
      <c r="E128" s="107"/>
      <c r="F128" s="107"/>
      <c r="G128" s="109" t="b">
        <v>0</v>
      </c>
      <c r="H128" s="43"/>
    </row>
    <row r="129">
      <c r="A129" s="112"/>
      <c r="B129" s="110"/>
      <c r="C129" s="107"/>
      <c r="D129" s="106"/>
      <c r="E129" s="107"/>
      <c r="F129" s="107"/>
      <c r="G129" s="109" t="b">
        <v>0</v>
      </c>
      <c r="H129" s="43"/>
    </row>
    <row r="130">
      <c r="A130" s="103" t="s">
        <v>178</v>
      </c>
      <c r="B130" s="104"/>
      <c r="C130" s="104"/>
      <c r="D130" s="104"/>
      <c r="E130" s="104"/>
      <c r="F130" s="104"/>
      <c r="G130" s="104"/>
      <c r="H130" s="43"/>
    </row>
    <row r="131">
      <c r="A131" s="112"/>
      <c r="B131" s="110"/>
      <c r="C131" s="107"/>
      <c r="D131" s="106"/>
      <c r="E131" s="107"/>
      <c r="F131" s="107"/>
      <c r="G131" s="109" t="b">
        <v>0</v>
      </c>
      <c r="H131" s="43"/>
    </row>
    <row r="132">
      <c r="A132" s="112"/>
      <c r="B132" s="110"/>
      <c r="C132" s="107"/>
      <c r="D132" s="106"/>
      <c r="E132" s="107"/>
      <c r="F132" s="107"/>
      <c r="G132" s="109" t="b">
        <v>0</v>
      </c>
      <c r="H132" s="43"/>
    </row>
    <row r="133">
      <c r="A133" s="127"/>
      <c r="B133" s="127"/>
      <c r="C133" s="127"/>
      <c r="D133" s="127"/>
      <c r="E133" s="127"/>
      <c r="F133" s="127"/>
      <c r="G133" s="127"/>
      <c r="H133" s="43"/>
    </row>
  </sheetData>
  <mergeCells count="90">
    <mergeCell ref="A28:B28"/>
    <mergeCell ref="A29:B29"/>
    <mergeCell ref="C29:D29"/>
    <mergeCell ref="E29:F29"/>
    <mergeCell ref="A31:H31"/>
    <mergeCell ref="A32:B32"/>
    <mergeCell ref="C32:D32"/>
    <mergeCell ref="A33:B33"/>
    <mergeCell ref="C33:D33"/>
    <mergeCell ref="A34:B34"/>
    <mergeCell ref="C34:D34"/>
    <mergeCell ref="A36:H36"/>
    <mergeCell ref="A37:B37"/>
    <mergeCell ref="C37:D37"/>
    <mergeCell ref="A38:B38"/>
    <mergeCell ref="C38:D38"/>
    <mergeCell ref="A39:B39"/>
    <mergeCell ref="C39:D39"/>
    <mergeCell ref="A42:B42"/>
    <mergeCell ref="C42:D42"/>
    <mergeCell ref="C43:D43"/>
    <mergeCell ref="A43:B43"/>
    <mergeCell ref="A44:B44"/>
    <mergeCell ref="A45:B45"/>
    <mergeCell ref="B48:D48"/>
    <mergeCell ref="B49:D49"/>
    <mergeCell ref="B50:D50"/>
    <mergeCell ref="B53:D53"/>
    <mergeCell ref="B54:D54"/>
    <mergeCell ref="B55:D55"/>
    <mergeCell ref="B56:D56"/>
    <mergeCell ref="B57:D57"/>
    <mergeCell ref="A58:G58"/>
    <mergeCell ref="A59:G59"/>
    <mergeCell ref="C60:D60"/>
    <mergeCell ref="A64:B64"/>
    <mergeCell ref="C64:D64"/>
    <mergeCell ref="A67:G67"/>
    <mergeCell ref="A105:G105"/>
    <mergeCell ref="A60:B60"/>
    <mergeCell ref="A61:B61"/>
    <mergeCell ref="C61:D61"/>
    <mergeCell ref="A62:B62"/>
    <mergeCell ref="C62:D62"/>
    <mergeCell ref="A63:B63"/>
    <mergeCell ref="C63:D63"/>
    <mergeCell ref="A1:B3"/>
    <mergeCell ref="C1:E3"/>
    <mergeCell ref="F1:G1"/>
    <mergeCell ref="F2:G2"/>
    <mergeCell ref="F3:G3"/>
    <mergeCell ref="A4:E4"/>
    <mergeCell ref="F4:G4"/>
    <mergeCell ref="A8:B8"/>
    <mergeCell ref="A9:B9"/>
    <mergeCell ref="A10:B10"/>
    <mergeCell ref="A12:B12"/>
    <mergeCell ref="D12:D13"/>
    <mergeCell ref="E12:E13"/>
    <mergeCell ref="A13:B13"/>
    <mergeCell ref="A16:B16"/>
    <mergeCell ref="D16:F16"/>
    <mergeCell ref="A17:B17"/>
    <mergeCell ref="D17:F17"/>
    <mergeCell ref="A18:B18"/>
    <mergeCell ref="D18:F18"/>
    <mergeCell ref="D19:F19"/>
    <mergeCell ref="C25:D25"/>
    <mergeCell ref="C26:D26"/>
    <mergeCell ref="E26:F26"/>
    <mergeCell ref="C27:D27"/>
    <mergeCell ref="E27:F27"/>
    <mergeCell ref="C28:D28"/>
    <mergeCell ref="E28:F28"/>
    <mergeCell ref="D20:F20"/>
    <mergeCell ref="A22:H22"/>
    <mergeCell ref="C23:D23"/>
    <mergeCell ref="E23:F23"/>
    <mergeCell ref="C24:D24"/>
    <mergeCell ref="E24:F24"/>
    <mergeCell ref="E25:F25"/>
    <mergeCell ref="A19:B19"/>
    <mergeCell ref="A20:B20"/>
    <mergeCell ref="A23:B23"/>
    <mergeCell ref="A24:B24"/>
    <mergeCell ref="A25:B25"/>
    <mergeCell ref="A26:B26"/>
    <mergeCell ref="A27:B27"/>
    <mergeCell ref="C44:D44"/>
    <mergeCell ref="C45:D45"/>
  </mergeCells>
  <conditionalFormatting sqref="C33:D33">
    <cfRule type="expression" dxfId="0" priority="1">
      <formula>$C$32="No"</formula>
    </cfRule>
  </conditionalFormatting>
  <dataValidations>
    <dataValidation type="list" allowBlank="1" showErrorMessage="1" sqref="C32">
      <formula1>"Yes,No"</formula1>
    </dataValidation>
  </dataValidations>
  <hyperlinks>
    <hyperlink display="Infrastructure Checklist" location="'Infrastructure Checklist'!A1" ref="C33"/>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4.88"/>
    <col customWidth="1" min="2" max="2" width="9.75"/>
    <col customWidth="1" min="3" max="3" width="42.63"/>
    <col customWidth="1" min="4" max="4" width="24.63"/>
    <col customWidth="1" min="5" max="5" width="13.63"/>
    <col customWidth="1" min="6" max="7" width="19.13"/>
  </cols>
  <sheetData>
    <row r="1" ht="18.75" customHeight="1">
      <c r="A1" s="180"/>
      <c r="B1" s="2"/>
      <c r="C1" s="3" t="s">
        <v>263</v>
      </c>
      <c r="D1" s="2"/>
      <c r="E1" s="5"/>
      <c r="F1" s="181" t="s">
        <v>1</v>
      </c>
      <c r="G1" s="8"/>
    </row>
    <row r="2" ht="18.75" customHeight="1">
      <c r="A2" s="6"/>
      <c r="C2" s="6"/>
      <c r="E2" s="8"/>
      <c r="F2" s="182" t="s">
        <v>2</v>
      </c>
      <c r="G2" s="8"/>
    </row>
    <row r="3" ht="18.75" customHeight="1">
      <c r="A3" s="45"/>
      <c r="B3" s="46"/>
      <c r="C3" s="45"/>
      <c r="D3" s="46"/>
      <c r="E3" s="10"/>
      <c r="F3" s="182" t="s">
        <v>3</v>
      </c>
      <c r="G3" s="8"/>
    </row>
    <row r="4" ht="18.75" customHeight="1">
      <c r="A4" s="183"/>
      <c r="B4" s="12"/>
      <c r="C4" s="12"/>
      <c r="D4" s="12"/>
      <c r="E4" s="12"/>
      <c r="F4" s="12"/>
      <c r="G4" s="12"/>
    </row>
    <row r="5" ht="18.75" customHeight="1">
      <c r="A5" s="184" t="s">
        <v>264</v>
      </c>
    </row>
    <row r="6" ht="19.5" customHeight="1"/>
    <row r="7">
      <c r="A7" s="185" t="s">
        <v>265</v>
      </c>
      <c r="B7" s="186" t="s">
        <v>84</v>
      </c>
      <c r="C7" s="185" t="s">
        <v>266</v>
      </c>
      <c r="D7" s="187" t="s">
        <v>40</v>
      </c>
      <c r="E7" s="187" t="s">
        <v>42</v>
      </c>
      <c r="F7" s="187" t="s">
        <v>188</v>
      </c>
      <c r="G7" s="187" t="s">
        <v>267</v>
      </c>
    </row>
    <row r="8">
      <c r="A8" s="188" t="s">
        <v>268</v>
      </c>
      <c r="B8" s="189">
        <v>1.0</v>
      </c>
      <c r="C8" s="190" t="s">
        <v>269</v>
      </c>
      <c r="D8" s="191"/>
      <c r="E8" s="192"/>
      <c r="F8" s="193"/>
      <c r="G8" s="194"/>
    </row>
    <row r="9" ht="30.0" customHeight="1">
      <c r="A9" s="195"/>
      <c r="B9" s="189">
        <v>2.0</v>
      </c>
      <c r="C9" s="190" t="s">
        <v>270</v>
      </c>
      <c r="D9" s="196"/>
      <c r="E9" s="192"/>
      <c r="F9" s="193"/>
      <c r="G9" s="194"/>
    </row>
    <row r="10" ht="30.0" customHeight="1">
      <c r="A10" s="195"/>
      <c r="B10" s="189">
        <v>3.0</v>
      </c>
      <c r="C10" s="190" t="s">
        <v>271</v>
      </c>
      <c r="D10" s="196"/>
      <c r="E10" s="192"/>
      <c r="F10" s="193"/>
      <c r="G10" s="194"/>
    </row>
    <row r="11" ht="30.0" customHeight="1">
      <c r="A11" s="195"/>
      <c r="B11" s="189">
        <v>4.0</v>
      </c>
      <c r="C11" s="197" t="s">
        <v>272</v>
      </c>
      <c r="D11" s="196"/>
      <c r="E11" s="192"/>
      <c r="F11" s="193"/>
      <c r="G11" s="194"/>
    </row>
    <row r="12" ht="30.0" customHeight="1">
      <c r="A12" s="195"/>
      <c r="B12" s="189">
        <v>5.0</v>
      </c>
      <c r="C12" s="190" t="s">
        <v>273</v>
      </c>
      <c r="D12" s="196"/>
      <c r="E12" s="192"/>
      <c r="F12" s="198"/>
      <c r="G12" s="194"/>
    </row>
    <row r="13" ht="30.0" customHeight="1">
      <c r="A13" s="195"/>
      <c r="B13" s="189">
        <v>6.0</v>
      </c>
      <c r="C13" s="197" t="s">
        <v>274</v>
      </c>
      <c r="D13" s="196"/>
      <c r="E13" s="192"/>
      <c r="F13" s="198"/>
      <c r="G13" s="194"/>
    </row>
    <row r="14" ht="30.0" customHeight="1">
      <c r="A14" s="195"/>
      <c r="B14" s="189">
        <v>7.0</v>
      </c>
      <c r="C14" s="190" t="s">
        <v>275</v>
      </c>
      <c r="D14" s="196"/>
      <c r="E14" s="192"/>
      <c r="F14" s="198"/>
      <c r="G14" s="194"/>
    </row>
    <row r="15">
      <c r="A15" s="195"/>
      <c r="B15" s="189">
        <v>8.0</v>
      </c>
      <c r="C15" s="190" t="s">
        <v>276</v>
      </c>
      <c r="D15" s="196"/>
      <c r="E15" s="192"/>
      <c r="F15" s="198"/>
      <c r="G15" s="194"/>
    </row>
    <row r="16">
      <c r="A16" s="64"/>
      <c r="B16" s="189">
        <v>9.0</v>
      </c>
      <c r="C16" s="197" t="s">
        <v>277</v>
      </c>
      <c r="D16" s="196"/>
      <c r="E16" s="192"/>
      <c r="F16" s="198"/>
      <c r="G16" s="194"/>
    </row>
    <row r="17">
      <c r="A17" s="199"/>
      <c r="B17" s="199"/>
      <c r="C17" s="200"/>
      <c r="D17" s="200"/>
      <c r="E17" s="201"/>
      <c r="F17" s="201"/>
      <c r="G17" s="201"/>
    </row>
    <row r="18">
      <c r="A18" s="201"/>
      <c r="B18" s="201"/>
      <c r="C18" s="202"/>
      <c r="D18" s="202"/>
      <c r="E18" s="202"/>
      <c r="F18" s="202"/>
      <c r="G18" s="202"/>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sheetData>
  <mergeCells count="8">
    <mergeCell ref="A1:B3"/>
    <mergeCell ref="C1:E3"/>
    <mergeCell ref="F1:G1"/>
    <mergeCell ref="F2:G2"/>
    <mergeCell ref="F3:G3"/>
    <mergeCell ref="A4:G4"/>
    <mergeCell ref="A5:G6"/>
    <mergeCell ref="A8:A16"/>
  </mergeCells>
  <conditionalFormatting sqref="E8:E16">
    <cfRule type="containsText" dxfId="1" priority="1" operator="containsText" text="New">
      <formula>NOT(ISERROR(SEARCH(("New"),(E8))))</formula>
    </cfRule>
  </conditionalFormatting>
  <conditionalFormatting sqref="E8:E16">
    <cfRule type="containsText" dxfId="2" priority="2" operator="containsText" text="Implementing">
      <formula>NOT(ISERROR(SEARCH(("Implementing"),(E8))))</formula>
    </cfRule>
  </conditionalFormatting>
  <conditionalFormatting sqref="E8:E16">
    <cfRule type="containsText" dxfId="3" priority="3" operator="containsText" text="Done">
      <formula>NOT(ISERROR(SEARCH(("Done"),(E8))))</formula>
    </cfRule>
  </conditionalFormatting>
  <dataValidations>
    <dataValidation type="list" allowBlank="1" sqref="E8:E16">
      <formula1>"New,Implementing,Done"</formula1>
    </dataValidation>
    <dataValidation type="custom" allowBlank="1" showDropDown="1" showErrorMessage="1" sqref="G8:G16">
      <formula1>OR(NOT(ISERROR(DATEVALUE(G8))), AND(ISNUMBER(G8), LEFT(CELL("format", G8))="D"))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5"/>
    <col customWidth="1" min="2" max="2" width="19.75"/>
    <col customWidth="1" min="3" max="3" width="32.75"/>
    <col customWidth="1" min="4" max="4" width="34.38"/>
    <col customWidth="1" min="5" max="5" width="10.13"/>
    <col customWidth="1" min="6" max="6" width="38.5"/>
    <col customWidth="1" min="7" max="7" width="21.5"/>
    <col customWidth="1" min="8" max="8" width="10.0"/>
    <col customWidth="1" min="9" max="9" width="34.88"/>
    <col hidden="1" min="10" max="11" width="12.63"/>
  </cols>
  <sheetData>
    <row r="1" ht="15.75" customHeight="1">
      <c r="A1" s="203"/>
      <c r="B1" s="5"/>
      <c r="C1" s="204" t="s">
        <v>0</v>
      </c>
      <c r="D1" s="2"/>
      <c r="E1" s="5"/>
      <c r="F1" s="205" t="s">
        <v>1</v>
      </c>
      <c r="G1" s="13"/>
      <c r="H1" s="206"/>
    </row>
    <row r="2" ht="15.75" customHeight="1">
      <c r="A2" s="6"/>
      <c r="B2" s="8"/>
      <c r="C2" s="6"/>
      <c r="E2" s="8"/>
      <c r="F2" s="207" t="s">
        <v>2</v>
      </c>
      <c r="G2" s="13"/>
      <c r="H2" s="206"/>
    </row>
    <row r="3" ht="15.75" customHeight="1">
      <c r="A3" s="45"/>
      <c r="B3" s="10"/>
      <c r="C3" s="45"/>
      <c r="D3" s="46"/>
      <c r="E3" s="10"/>
      <c r="F3" s="207" t="s">
        <v>3</v>
      </c>
      <c r="G3" s="13"/>
      <c r="H3" s="206"/>
    </row>
    <row r="4" ht="15.75" customHeight="1">
      <c r="A4" s="208" t="s">
        <v>4</v>
      </c>
      <c r="B4" s="12"/>
      <c r="C4" s="12"/>
      <c r="D4" s="12"/>
      <c r="E4" s="13"/>
      <c r="F4" s="209" t="s">
        <v>5</v>
      </c>
      <c r="G4" s="13"/>
      <c r="H4" s="206"/>
    </row>
    <row r="5" ht="15.75" customHeight="1">
      <c r="A5" s="210"/>
      <c r="B5" s="210"/>
      <c r="C5" s="210"/>
      <c r="D5" s="210"/>
      <c r="E5" s="210"/>
      <c r="F5" s="210"/>
      <c r="G5" s="210"/>
      <c r="H5" s="206"/>
    </row>
    <row r="6" ht="15.75" customHeight="1">
      <c r="A6" s="211" t="s">
        <v>24</v>
      </c>
      <c r="B6" s="212"/>
      <c r="C6" s="212"/>
      <c r="D6" s="212"/>
      <c r="E6" s="212"/>
      <c r="F6" s="212"/>
      <c r="G6" s="212"/>
      <c r="H6" s="206"/>
    </row>
    <row r="7">
      <c r="A7" s="213" t="s">
        <v>278</v>
      </c>
      <c r="B7" s="214"/>
      <c r="C7" s="176" t="s">
        <v>256</v>
      </c>
      <c r="D7" s="212"/>
      <c r="E7" s="212"/>
      <c r="F7" s="212"/>
      <c r="G7" s="212"/>
      <c r="H7" s="206"/>
    </row>
    <row r="8" ht="15.75" customHeight="1">
      <c r="A8" s="215" t="s">
        <v>26</v>
      </c>
      <c r="B8" s="13"/>
      <c r="C8" s="216"/>
      <c r="D8" s="212"/>
      <c r="E8" s="212"/>
      <c r="F8" s="212"/>
      <c r="G8" s="212"/>
      <c r="H8" s="206"/>
    </row>
    <row r="9" ht="15.75" customHeight="1">
      <c r="A9" s="215" t="s">
        <v>28</v>
      </c>
      <c r="B9" s="13"/>
      <c r="C9" s="216"/>
      <c r="D9" s="212"/>
      <c r="E9" s="212"/>
      <c r="F9" s="212"/>
      <c r="G9" s="212"/>
      <c r="H9" s="206"/>
    </row>
    <row r="10" ht="15.75" customHeight="1">
      <c r="A10" s="215" t="s">
        <v>30</v>
      </c>
      <c r="B10" s="13"/>
      <c r="C10" s="216"/>
      <c r="D10" s="212"/>
      <c r="E10" s="212"/>
      <c r="F10" s="212"/>
      <c r="G10" s="212"/>
      <c r="H10" s="206"/>
    </row>
    <row r="11" ht="15.75" customHeight="1">
      <c r="D11" s="212"/>
      <c r="E11" s="212"/>
      <c r="F11" s="212"/>
      <c r="G11" s="212"/>
      <c r="H11" s="206"/>
    </row>
    <row r="12" ht="15.75" customHeight="1">
      <c r="A12" s="215" t="s">
        <v>32</v>
      </c>
      <c r="B12" s="13"/>
      <c r="C12" s="217"/>
      <c r="D12" s="218"/>
      <c r="E12" s="219"/>
      <c r="G12" s="212"/>
      <c r="H12" s="206"/>
    </row>
    <row r="13" ht="15.75" customHeight="1">
      <c r="A13" s="215" t="s">
        <v>36</v>
      </c>
      <c r="B13" s="13"/>
      <c r="C13" s="220"/>
      <c r="G13" s="212"/>
      <c r="H13" s="206"/>
    </row>
    <row r="14" ht="15.75" customHeight="1">
      <c r="A14" s="212"/>
      <c r="B14" s="212"/>
      <c r="C14" s="212"/>
      <c r="D14" s="212"/>
      <c r="E14" s="212"/>
      <c r="F14" s="212"/>
      <c r="G14" s="212"/>
      <c r="H14" s="206"/>
    </row>
    <row r="15">
      <c r="A15" s="221" t="s">
        <v>93</v>
      </c>
      <c r="H15" s="222"/>
    </row>
    <row r="16" ht="15.75" customHeight="1">
      <c r="A16" s="223" t="s">
        <v>94</v>
      </c>
      <c r="B16" s="13"/>
      <c r="C16" s="223" t="s">
        <v>95</v>
      </c>
      <c r="D16" s="13"/>
      <c r="E16" s="224" t="s">
        <v>42</v>
      </c>
      <c r="F16" s="225"/>
      <c r="G16" s="222"/>
      <c r="H16" s="222"/>
    </row>
    <row r="17" ht="15.75" customHeight="1">
      <c r="A17" s="226" t="s">
        <v>279</v>
      </c>
      <c r="B17" s="13"/>
      <c r="C17" s="227"/>
      <c r="D17" s="13"/>
      <c r="E17" s="146" t="b">
        <v>0</v>
      </c>
      <c r="F17" s="225"/>
      <c r="G17" s="222"/>
      <c r="H17" s="222"/>
    </row>
    <row r="18" ht="15.75" customHeight="1">
      <c r="A18" s="226" t="s">
        <v>280</v>
      </c>
      <c r="B18" s="13"/>
      <c r="C18" s="227"/>
      <c r="D18" s="13"/>
      <c r="E18" s="146" t="b">
        <v>0</v>
      </c>
      <c r="F18" s="225"/>
      <c r="G18" s="222"/>
      <c r="H18" s="222"/>
    </row>
    <row r="19" ht="15.75" customHeight="1">
      <c r="A19" s="228"/>
      <c r="B19" s="13"/>
      <c r="C19" s="228"/>
      <c r="D19" s="13"/>
      <c r="E19" s="146"/>
      <c r="F19" s="225"/>
      <c r="G19" s="229"/>
      <c r="H19" s="222"/>
    </row>
    <row r="20" ht="15.75" customHeight="1">
      <c r="A20" s="230"/>
      <c r="B20" s="230"/>
      <c r="C20" s="230"/>
      <c r="D20" s="230"/>
      <c r="E20" s="230"/>
      <c r="F20" s="230"/>
      <c r="G20" s="230"/>
      <c r="H20" s="231"/>
    </row>
    <row r="21" ht="15.75" customHeight="1"/>
    <row r="22">
      <c r="A22" s="232" t="s">
        <v>281</v>
      </c>
    </row>
    <row r="23" ht="33.0" customHeight="1">
      <c r="A23" s="233" t="s">
        <v>84</v>
      </c>
      <c r="B23" s="233" t="s">
        <v>282</v>
      </c>
      <c r="C23" s="233" t="s">
        <v>79</v>
      </c>
      <c r="D23" s="233" t="s">
        <v>283</v>
      </c>
      <c r="E23" s="233" t="s">
        <v>284</v>
      </c>
      <c r="F23" s="233" t="s">
        <v>285</v>
      </c>
      <c r="G23" s="233" t="s">
        <v>286</v>
      </c>
      <c r="H23" s="234" t="s">
        <v>109</v>
      </c>
      <c r="I23" s="234" t="s">
        <v>287</v>
      </c>
      <c r="J23" s="235"/>
      <c r="K23" s="235"/>
    </row>
    <row r="24">
      <c r="A24" s="236">
        <v>1.0</v>
      </c>
      <c r="B24" s="237" t="s">
        <v>288</v>
      </c>
      <c r="C24" s="238" t="s">
        <v>289</v>
      </c>
      <c r="D24" s="239" t="s">
        <v>290</v>
      </c>
      <c r="E24" s="240" t="s">
        <v>291</v>
      </c>
      <c r="F24" s="238" t="s">
        <v>292</v>
      </c>
      <c r="G24" s="241" t="str">
        <f>HYPERLINK("http://docs.aws.amazon.com/IAM/latest/UserGuide/getting-started_create-admin-group.html","Creating Your First IAM Admin User and Group")</f>
        <v>Creating Your First IAM Admin User and Group</v>
      </c>
      <c r="H24" s="146" t="b">
        <v>0</v>
      </c>
      <c r="I24" s="242"/>
      <c r="J24" s="243" t="str">
        <f> 'Release Process'!C32 </f>
        <v/>
      </c>
      <c r="K24" s="244"/>
    </row>
    <row r="25">
      <c r="A25" s="236">
        <v>2.0</v>
      </c>
      <c r="B25" s="245" t="s">
        <v>293</v>
      </c>
      <c r="C25" s="238" t="s">
        <v>294</v>
      </c>
      <c r="D25" s="239" t="s">
        <v>295</v>
      </c>
      <c r="E25" s="240"/>
      <c r="F25" s="238" t="s">
        <v>296</v>
      </c>
      <c r="G25" s="238"/>
      <c r="H25" s="146" t="b">
        <v>0</v>
      </c>
      <c r="I25" s="242"/>
      <c r="J25" s="244"/>
      <c r="K25" s="244"/>
    </row>
    <row r="26">
      <c r="A26" s="236">
        <v>3.0</v>
      </c>
      <c r="B26" s="195"/>
      <c r="C26" s="220" t="s">
        <v>297</v>
      </c>
      <c r="D26" s="246" t="s">
        <v>298</v>
      </c>
      <c r="E26" s="240" t="s">
        <v>299</v>
      </c>
      <c r="F26" s="220" t="s">
        <v>300</v>
      </c>
      <c r="G26" s="247" t="str">
        <f>HYPERLINK("http://docs.aws.amazon.com/IAM/latest/UserGuide/id_users_create.html#id_users_create_console","Creating an IAM User in Your AWS Account")</f>
        <v>Creating an IAM User in Your AWS Account</v>
      </c>
      <c r="H26" s="146" t="b">
        <v>0</v>
      </c>
      <c r="I26" s="248"/>
      <c r="J26" s="244"/>
      <c r="K26" s="244"/>
    </row>
    <row r="27">
      <c r="A27" s="249">
        <v>4.0</v>
      </c>
      <c r="B27" s="195"/>
      <c r="C27" s="220" t="s">
        <v>301</v>
      </c>
      <c r="D27" s="250" t="s">
        <v>302</v>
      </c>
      <c r="E27" s="251" t="s">
        <v>299</v>
      </c>
      <c r="F27" s="220" t="s">
        <v>303</v>
      </c>
      <c r="G27" s="247" t="str">
        <f>HYPERLINK("http://docs.aws.amazon.com/IAM/latest/UserGuide/id_groups_create.html","Creating IAM Groups")</f>
        <v>Creating IAM Groups</v>
      </c>
      <c r="H27" s="146" t="b">
        <v>0</v>
      </c>
      <c r="I27" s="248"/>
      <c r="J27" s="244"/>
      <c r="K27" s="244"/>
    </row>
    <row r="28">
      <c r="A28" s="64"/>
      <c r="B28" s="195"/>
      <c r="C28" s="220" t="s">
        <v>304</v>
      </c>
      <c r="D28" s="64"/>
      <c r="E28" s="64"/>
      <c r="F28" s="220"/>
      <c r="G28" s="220"/>
      <c r="H28" s="146" t="b">
        <v>0</v>
      </c>
      <c r="I28" s="248"/>
      <c r="J28" s="244"/>
      <c r="K28" s="244"/>
    </row>
    <row r="29">
      <c r="A29" s="236">
        <v>5.0</v>
      </c>
      <c r="B29" s="195"/>
      <c r="C29" s="252" t="s">
        <v>305</v>
      </c>
      <c r="D29" s="246" t="s">
        <v>306</v>
      </c>
      <c r="E29" s="240" t="s">
        <v>299</v>
      </c>
      <c r="F29" s="220" t="s">
        <v>307</v>
      </c>
      <c r="G29" s="247" t="str">
        <f>HYPERLINK("http://docs.aws.amazon.com/IAM/latest/UserGuide/id_credentials_access-keys.html#Using_CreateAccessKey","Creating, Modifying, and Viewing Access Keys ")</f>
        <v>Creating, Modifying, and Viewing Access Keys </v>
      </c>
      <c r="H29" s="146" t="b">
        <v>0</v>
      </c>
      <c r="I29" s="248"/>
      <c r="J29" s="244"/>
      <c r="K29" s="244"/>
    </row>
    <row r="30">
      <c r="A30" s="236">
        <v>6.0</v>
      </c>
      <c r="B30" s="195"/>
      <c r="C30" s="220" t="s">
        <v>308</v>
      </c>
      <c r="D30" s="246" t="s">
        <v>309</v>
      </c>
      <c r="E30" s="240" t="s">
        <v>299</v>
      </c>
      <c r="F30" s="220"/>
      <c r="G30" s="220"/>
      <c r="H30" s="146" t="b">
        <v>0</v>
      </c>
      <c r="I30" s="248"/>
      <c r="J30" s="244"/>
      <c r="K30" s="244"/>
    </row>
    <row r="31">
      <c r="A31" s="236">
        <v>7.0</v>
      </c>
      <c r="B31" s="64"/>
      <c r="C31" s="220" t="s">
        <v>310</v>
      </c>
      <c r="D31" s="246" t="s">
        <v>311</v>
      </c>
      <c r="E31" s="240" t="s">
        <v>299</v>
      </c>
      <c r="F31" s="220"/>
      <c r="G31" s="220"/>
      <c r="H31" s="146" t="b">
        <v>0</v>
      </c>
      <c r="I31" s="248"/>
      <c r="J31" s="244"/>
      <c r="K31" s="244"/>
    </row>
    <row r="32">
      <c r="A32" s="236">
        <v>8.0</v>
      </c>
      <c r="B32" s="253" t="s">
        <v>312</v>
      </c>
      <c r="C32" s="220" t="s">
        <v>313</v>
      </c>
      <c r="D32" s="254" t="s">
        <v>314</v>
      </c>
      <c r="E32" s="240" t="s">
        <v>315</v>
      </c>
      <c r="F32" s="220" t="s">
        <v>316</v>
      </c>
      <c r="G32" s="247" t="str">
        <f>HYPERLINK("http://docs.aws.amazon.com/AWSEC2/latest/UserGuide/iam-roles-for-amazon-ec2.html#create-iam-role","Working with IAM Roles")</f>
        <v>Working with IAM Roles</v>
      </c>
      <c r="H32" s="146" t="b">
        <v>0</v>
      </c>
      <c r="I32" s="248"/>
      <c r="J32" s="244"/>
      <c r="K32" s="244"/>
    </row>
    <row r="33">
      <c r="A33" s="236">
        <v>9.0</v>
      </c>
      <c r="B33" s="253" t="s">
        <v>317</v>
      </c>
      <c r="C33" s="220" t="s">
        <v>318</v>
      </c>
      <c r="D33" s="246" t="s">
        <v>319</v>
      </c>
      <c r="E33" s="240" t="s">
        <v>291</v>
      </c>
      <c r="F33" s="220" t="s">
        <v>320</v>
      </c>
      <c r="G33" s="247" t="str">
        <f>HYPERLINK("http://docs.aws.amazon.com/IAM/latest/UserGuide/id_credentials_passwords_account-policy.html#IAMPasswordPolicy","Setting a Password Policy")</f>
        <v>Setting a Password Policy</v>
      </c>
      <c r="H33" s="146" t="b">
        <v>0</v>
      </c>
      <c r="I33" s="248"/>
      <c r="J33" s="244"/>
      <c r="K33" s="244"/>
    </row>
    <row r="34">
      <c r="A34" s="236">
        <v>10.0</v>
      </c>
      <c r="B34" s="253" t="s">
        <v>321</v>
      </c>
      <c r="C34" s="220" t="s">
        <v>322</v>
      </c>
      <c r="D34" s="246" t="s">
        <v>323</v>
      </c>
      <c r="E34" s="240" t="s">
        <v>291</v>
      </c>
      <c r="F34" s="220" t="s">
        <v>324</v>
      </c>
      <c r="G34" s="247" t="str">
        <f>HYPERLINK("http://docs.aws.amazon.com/IAM/latest/UserGuide/id_credentials_mfa_enable_virtual.html#enable-virt-mfa-for-iam-user"," Enable a Virtual MFA Device")</f>
        <v> Enable a Virtual MFA Device</v>
      </c>
      <c r="H34" s="146" t="b">
        <v>0</v>
      </c>
      <c r="I34" s="248"/>
      <c r="J34" s="244"/>
      <c r="K34" s="244"/>
    </row>
    <row r="35">
      <c r="A35" s="236">
        <v>11.0</v>
      </c>
      <c r="B35" s="253" t="s">
        <v>325</v>
      </c>
      <c r="C35" s="220" t="s">
        <v>326</v>
      </c>
      <c r="D35" s="246" t="s">
        <v>327</v>
      </c>
      <c r="E35" s="240" t="s">
        <v>328</v>
      </c>
      <c r="F35" s="220" t="s">
        <v>329</v>
      </c>
      <c r="G35" s="247" t="str">
        <f>HYPERLINK("http://docs.aws.amazon.com/AmazonCloudWatch/latest/monitoring/monitor_estimated_charges_with_cloudwatch.html#turning_on_billing_metrics","Create a Billing Alarm to Monitor Your Estimated AWS Charges")</f>
        <v>Create a Billing Alarm to Monitor Your Estimated AWS Charges</v>
      </c>
      <c r="H35" s="146" t="b">
        <v>0</v>
      </c>
      <c r="I35" s="248"/>
      <c r="J35" s="244"/>
      <c r="K35" s="244"/>
    </row>
    <row r="36">
      <c r="A36" s="236">
        <v>12.0</v>
      </c>
      <c r="B36" s="253" t="s">
        <v>330</v>
      </c>
      <c r="C36" s="220" t="s">
        <v>331</v>
      </c>
      <c r="D36" s="246" t="s">
        <v>332</v>
      </c>
      <c r="E36" s="240" t="s">
        <v>328</v>
      </c>
      <c r="F36" s="220" t="s">
        <v>333</v>
      </c>
      <c r="G36" s="247" t="s">
        <v>334</v>
      </c>
      <c r="H36" s="146" t="b">
        <v>0</v>
      </c>
      <c r="I36" s="248"/>
      <c r="J36" s="244"/>
      <c r="K36" s="244"/>
    </row>
    <row r="37">
      <c r="A37" s="236">
        <v>15.0</v>
      </c>
      <c r="B37" s="245" t="s">
        <v>335</v>
      </c>
      <c r="C37" s="220" t="s">
        <v>336</v>
      </c>
      <c r="D37" s="246" t="s">
        <v>337</v>
      </c>
      <c r="E37" s="240" t="s">
        <v>299</v>
      </c>
      <c r="F37" s="220" t="s">
        <v>338</v>
      </c>
      <c r="G37" s="247" t="str">
        <f>HYPERLINK("http://docs.aws.amazon.com/AWSEC2/latest/UserGuide/ec2-key-pairs.html#having-ec2-create-your-key-pair","Creating a Key Pair")</f>
        <v>Creating a Key Pair</v>
      </c>
      <c r="H37" s="146" t="b">
        <v>0</v>
      </c>
      <c r="I37" s="248"/>
      <c r="J37" s="244"/>
      <c r="K37" s="244"/>
    </row>
    <row r="38">
      <c r="A38" s="236">
        <v>16.0</v>
      </c>
      <c r="B38" s="64"/>
      <c r="C38" s="220" t="s">
        <v>339</v>
      </c>
      <c r="D38" s="246" t="s">
        <v>340</v>
      </c>
      <c r="E38" s="240" t="s">
        <v>315</v>
      </c>
      <c r="F38" s="220" t="s">
        <v>341</v>
      </c>
      <c r="G38" s="247" t="str">
        <f>HYPERLINK("http://docs.aws.amazon.com/AWSEC2/latest/UserGuide/managing-users.html","Managing User Accounts on Your Linux Instance")</f>
        <v>Managing User Accounts on Your Linux Instance</v>
      </c>
      <c r="H38" s="146" t="b">
        <v>0</v>
      </c>
      <c r="I38" s="248"/>
      <c r="J38" s="244"/>
      <c r="K38" s="244"/>
    </row>
    <row r="39">
      <c r="A39" s="236">
        <v>17.0</v>
      </c>
      <c r="B39" s="245" t="s">
        <v>342</v>
      </c>
      <c r="C39" s="220" t="s">
        <v>343</v>
      </c>
      <c r="D39" s="246" t="s">
        <v>344</v>
      </c>
      <c r="E39" s="240" t="s">
        <v>328</v>
      </c>
      <c r="F39" s="220" t="s">
        <v>345</v>
      </c>
      <c r="G39" s="247" t="str">
        <f>HYPERLINK("http://docs.aws.amazon.com/kms/latest/developerguide/create-keys.html","Creating a customer master key (CMK)")</f>
        <v>Creating a customer master key (CMK)</v>
      </c>
      <c r="H39" s="146" t="b">
        <v>0</v>
      </c>
      <c r="I39" s="248"/>
      <c r="J39" s="244"/>
      <c r="K39" s="244"/>
    </row>
    <row r="40">
      <c r="A40" s="236">
        <v>18.0</v>
      </c>
      <c r="B40" s="195"/>
      <c r="C40" s="220" t="s">
        <v>346</v>
      </c>
      <c r="D40" s="246" t="s">
        <v>347</v>
      </c>
      <c r="E40" s="240" t="s">
        <v>328</v>
      </c>
      <c r="F40" s="220" t="s">
        <v>348</v>
      </c>
      <c r="G40" s="247" t="str">
        <f>HYPERLINK("http://docs.aws.amazon.com/AmazonS3/latest/dev/UsingKMSEncryption.html","Server-Side Encryption with AWS KMS–Managed Keys")</f>
        <v>Server-Side Encryption with AWS KMS–Managed Keys</v>
      </c>
      <c r="H40" s="146" t="b">
        <v>0</v>
      </c>
      <c r="I40" s="248"/>
      <c r="J40" s="244"/>
      <c r="K40" s="244"/>
    </row>
    <row r="41">
      <c r="A41" s="236">
        <v>19.0</v>
      </c>
      <c r="B41" s="195"/>
      <c r="C41" s="220" t="s">
        <v>349</v>
      </c>
      <c r="D41" s="246" t="s">
        <v>350</v>
      </c>
      <c r="E41" s="240" t="s">
        <v>328</v>
      </c>
      <c r="F41" s="220" t="s">
        <v>351</v>
      </c>
      <c r="G41" s="247" t="s">
        <v>352</v>
      </c>
      <c r="H41" s="146" t="b">
        <v>0</v>
      </c>
      <c r="I41" s="248"/>
      <c r="J41" s="244"/>
      <c r="K41" s="244"/>
    </row>
    <row r="42">
      <c r="A42" s="236">
        <v>20.0</v>
      </c>
      <c r="B42" s="195"/>
      <c r="C42" s="220" t="s">
        <v>353</v>
      </c>
      <c r="D42" s="246" t="s">
        <v>354</v>
      </c>
      <c r="E42" s="240" t="s">
        <v>328</v>
      </c>
      <c r="F42" s="220" t="s">
        <v>355</v>
      </c>
      <c r="G42" s="247" t="str">
        <f>HYPERLINK("http://docs.aws.amazon.com/AmazonRDS/latest/UserGuide/Overview.Encryption.html#Overview.Encryption.Enabling","Enabling Amazon RDS Encryption for a DB Instance")</f>
        <v>Enabling Amazon RDS Encryption for a DB Instance</v>
      </c>
      <c r="H42" s="146" t="b">
        <v>0</v>
      </c>
      <c r="I42" s="248"/>
      <c r="J42" s="244"/>
      <c r="K42" s="244"/>
    </row>
    <row r="43" ht="15.75" customHeight="1">
      <c r="A43" s="236">
        <v>21.0</v>
      </c>
      <c r="B43" s="195"/>
      <c r="C43" s="220" t="s">
        <v>356</v>
      </c>
      <c r="D43" s="246" t="s">
        <v>357</v>
      </c>
      <c r="E43" s="240" t="s">
        <v>328</v>
      </c>
      <c r="F43" s="220" t="s">
        <v>355</v>
      </c>
      <c r="G43" s="247" t="s">
        <v>358</v>
      </c>
      <c r="H43" s="146" t="b">
        <v>0</v>
      </c>
      <c r="I43" s="248"/>
      <c r="J43" s="244"/>
      <c r="K43" s="244"/>
    </row>
    <row r="44">
      <c r="A44" s="236">
        <v>22.0</v>
      </c>
      <c r="B44" s="195"/>
      <c r="C44" s="220" t="s">
        <v>359</v>
      </c>
      <c r="D44" s="246" t="s">
        <v>360</v>
      </c>
      <c r="E44" s="240" t="s">
        <v>328</v>
      </c>
      <c r="F44" s="220" t="s">
        <v>361</v>
      </c>
      <c r="G44" s="247" t="s">
        <v>362</v>
      </c>
      <c r="H44" s="146" t="b">
        <v>0</v>
      </c>
      <c r="I44" s="248"/>
      <c r="J44" s="244"/>
      <c r="K44" s="244"/>
    </row>
    <row r="45">
      <c r="A45" s="236">
        <v>23.0</v>
      </c>
      <c r="B45" s="64"/>
      <c r="C45" s="220" t="s">
        <v>363</v>
      </c>
      <c r="D45" s="246" t="s">
        <v>364</v>
      </c>
      <c r="E45" s="240" t="s">
        <v>365</v>
      </c>
      <c r="F45" s="220"/>
      <c r="G45" s="220"/>
      <c r="H45" s="146" t="b">
        <v>0</v>
      </c>
      <c r="I45" s="248"/>
      <c r="J45" s="244"/>
      <c r="K45" s="244"/>
    </row>
    <row r="46" ht="48.0" customHeight="1">
      <c r="A46" s="236">
        <v>24.0</v>
      </c>
      <c r="B46" s="245" t="s">
        <v>366</v>
      </c>
      <c r="C46" s="255" t="s">
        <v>367</v>
      </c>
      <c r="D46" s="246" t="s">
        <v>368</v>
      </c>
      <c r="E46" s="240" t="s">
        <v>291</v>
      </c>
      <c r="F46" s="220" t="s">
        <v>369</v>
      </c>
      <c r="G46" s="247" t="str">
        <f>HYPERLINK("http://docs.aws.amazon.com/AmazonS3/latest/dev/example-bucket-policies.html","Bucket Policy Examples")</f>
        <v>Bucket Policy Examples</v>
      </c>
      <c r="H46" s="146" t="b">
        <v>0</v>
      </c>
      <c r="I46" s="248"/>
      <c r="J46" s="244"/>
      <c r="K46" s="244"/>
    </row>
    <row r="47" ht="15.75" customHeight="1">
      <c r="A47" s="236">
        <v>25.0</v>
      </c>
      <c r="B47" s="195"/>
      <c r="C47" s="195"/>
      <c r="D47" s="246" t="s">
        <v>370</v>
      </c>
      <c r="E47" s="240" t="s">
        <v>315</v>
      </c>
      <c r="F47" s="220" t="s">
        <v>371</v>
      </c>
      <c r="G47" s="247" t="str">
        <f>HYPERLINK("http://docs.aws.amazon.com/AmazonS3/latest/user-guide/enable-versioning.html","How Do I Enable or Suspend Versioning for an S3 Bucket")</f>
        <v>How Do I Enable or Suspend Versioning for an S3 Bucket</v>
      </c>
      <c r="H47" s="146" t="b">
        <v>0</v>
      </c>
      <c r="I47" s="248"/>
      <c r="J47" s="244"/>
      <c r="K47" s="244"/>
    </row>
    <row r="48" ht="15.75" customHeight="1">
      <c r="A48" s="236">
        <v>26.0</v>
      </c>
      <c r="B48" s="195"/>
      <c r="C48" s="195"/>
      <c r="D48" s="246" t="s">
        <v>372</v>
      </c>
      <c r="E48" s="240" t="s">
        <v>328</v>
      </c>
      <c r="F48" s="220" t="s">
        <v>373</v>
      </c>
      <c r="G48" s="247" t="str">
        <f>HYPERLINK("http://docs.aws.amazon.com/AmazonS3/latest/dev/crr-how-setup.html","How to Set Up Cross-Region Replication")</f>
        <v>How to Set Up Cross-Region Replication</v>
      </c>
      <c r="H48" s="146" t="b">
        <v>0</v>
      </c>
      <c r="I48" s="248"/>
      <c r="J48" s="244"/>
      <c r="K48" s="244"/>
    </row>
    <row r="49" ht="15.75" customHeight="1">
      <c r="A49" s="236">
        <v>27.0</v>
      </c>
      <c r="B49" s="64"/>
      <c r="C49" s="64"/>
      <c r="D49" s="246" t="s">
        <v>374</v>
      </c>
      <c r="E49" s="240" t="s">
        <v>328</v>
      </c>
      <c r="F49" s="220" t="s">
        <v>375</v>
      </c>
      <c r="G49" s="247" t="str">
        <f>HYPERLINK("http://docs.aws.amazon.com/AmazonS3/latest/dev/UsingClientSideEncryption.html","Protecting Data Using Client-Side Encryption")</f>
        <v>Protecting Data Using Client-Side Encryption</v>
      </c>
      <c r="H49" s="146" t="b">
        <v>0</v>
      </c>
      <c r="I49" s="248"/>
      <c r="J49" s="244"/>
      <c r="K49" s="244"/>
    </row>
    <row r="50">
      <c r="A50" s="236">
        <v>28.0</v>
      </c>
      <c r="B50" s="245" t="s">
        <v>376</v>
      </c>
      <c r="C50" s="220" t="s">
        <v>377</v>
      </c>
      <c r="D50" s="246" t="s">
        <v>378</v>
      </c>
      <c r="E50" s="240" t="s">
        <v>299</v>
      </c>
      <c r="F50" s="220" t="s">
        <v>379</v>
      </c>
      <c r="G50" s="247" t="s">
        <v>380</v>
      </c>
      <c r="H50" s="146" t="b">
        <v>0</v>
      </c>
      <c r="I50" s="248"/>
      <c r="J50" s="244"/>
      <c r="K50" s="244"/>
    </row>
    <row r="51">
      <c r="A51" s="236">
        <v>29.0</v>
      </c>
      <c r="B51" s="195"/>
      <c r="C51" s="220" t="s">
        <v>381</v>
      </c>
      <c r="D51" s="246" t="s">
        <v>382</v>
      </c>
      <c r="E51" s="240" t="s">
        <v>383</v>
      </c>
      <c r="F51" s="220" t="s">
        <v>384</v>
      </c>
      <c r="G51" s="220" t="s">
        <v>385</v>
      </c>
      <c r="H51" s="146" t="b">
        <v>0</v>
      </c>
      <c r="I51" s="248"/>
      <c r="J51" s="244"/>
      <c r="K51" s="244"/>
    </row>
    <row r="52">
      <c r="A52" s="236">
        <v>30.0</v>
      </c>
      <c r="B52" s="195"/>
      <c r="C52" s="220" t="s">
        <v>386</v>
      </c>
      <c r="D52" s="246" t="s">
        <v>387</v>
      </c>
      <c r="E52" s="240" t="s">
        <v>383</v>
      </c>
      <c r="F52" s="220" t="s">
        <v>388</v>
      </c>
      <c r="G52" s="247" t="str">
        <f>HYPERLINK("http://docs.aws.amazon.com/AWSEC2/latest/UserGuide/putty.html","Connecting to Your Linux Instance from Windows Using PuTTY")</f>
        <v>Connecting to Your Linux Instance from Windows Using PuTTY</v>
      </c>
      <c r="H52" s="146" t="b">
        <v>0</v>
      </c>
      <c r="I52" s="248"/>
      <c r="J52" s="244"/>
      <c r="K52" s="244"/>
    </row>
    <row r="53">
      <c r="A53" s="236">
        <v>31.0</v>
      </c>
      <c r="B53" s="64"/>
      <c r="C53" s="256" t="s">
        <v>389</v>
      </c>
      <c r="D53" s="246" t="s">
        <v>390</v>
      </c>
      <c r="E53" s="240" t="s">
        <v>328</v>
      </c>
      <c r="F53" s="220" t="s">
        <v>391</v>
      </c>
      <c r="G53" s="247" t="str">
        <f>HYPERLINK("http://docs.aws.amazon.com/AmazonRDS/latest/UserGuide/UsingWithRDS.SSL.html","Using SSL to Encrypt a Connection to a DB Instance")</f>
        <v>Using SSL to Encrypt a Connection to a DB Instance</v>
      </c>
      <c r="H53" s="146" t="b">
        <v>0</v>
      </c>
      <c r="I53" s="248"/>
      <c r="J53" s="244"/>
      <c r="K53" s="244"/>
    </row>
    <row r="54" ht="15.75" customHeight="1">
      <c r="A54" s="236">
        <v>32.0</v>
      </c>
      <c r="B54" s="257" t="s">
        <v>392</v>
      </c>
      <c r="C54" s="256" t="s">
        <v>393</v>
      </c>
      <c r="D54" s="258" t="s">
        <v>394</v>
      </c>
      <c r="E54" s="240" t="s">
        <v>291</v>
      </c>
      <c r="F54" s="220" t="s">
        <v>395</v>
      </c>
      <c r="G54" s="220" t="s">
        <v>385</v>
      </c>
      <c r="H54" s="146" t="b">
        <v>0</v>
      </c>
      <c r="I54" s="248"/>
      <c r="J54" s="244"/>
      <c r="K54" s="244"/>
    </row>
    <row r="55" ht="15.75" customHeight="1">
      <c r="A55" s="236">
        <v>33.0</v>
      </c>
      <c r="B55" s="6"/>
      <c r="C55" s="195"/>
      <c r="D55" s="258" t="s">
        <v>396</v>
      </c>
      <c r="E55" s="240" t="s">
        <v>299</v>
      </c>
      <c r="F55" s="220" t="s">
        <v>397</v>
      </c>
      <c r="G55" s="247" t="str">
        <f>HYPERLINK("http://docs.aws.amazon.com/AWSEC2/latest/UserGuide/security-group-rules-reference.html","Security Group Rules Reference")</f>
        <v>Security Group Rules Reference</v>
      </c>
      <c r="H55" s="146" t="b">
        <v>0</v>
      </c>
      <c r="I55" s="248"/>
      <c r="J55" s="244"/>
      <c r="K55" s="244"/>
    </row>
    <row r="56" ht="15.75" customHeight="1">
      <c r="A56" s="236">
        <v>34.0</v>
      </c>
      <c r="B56" s="6"/>
      <c r="C56" s="195"/>
      <c r="D56" s="258" t="s">
        <v>398</v>
      </c>
      <c r="E56" s="240" t="s">
        <v>328</v>
      </c>
      <c r="F56" s="220" t="s">
        <v>399</v>
      </c>
      <c r="G56" s="220" t="s">
        <v>385</v>
      </c>
      <c r="H56" s="146" t="b">
        <v>0</v>
      </c>
      <c r="I56" s="248"/>
      <c r="J56" s="244"/>
      <c r="K56" s="244"/>
    </row>
    <row r="57" ht="15.75" customHeight="1">
      <c r="A57" s="236">
        <v>35.0</v>
      </c>
      <c r="B57" s="6"/>
      <c r="C57" s="195"/>
      <c r="D57" s="258" t="s">
        <v>400</v>
      </c>
      <c r="E57" s="240" t="s">
        <v>299</v>
      </c>
      <c r="F57" s="220" t="s">
        <v>401</v>
      </c>
      <c r="G57" s="220" t="s">
        <v>385</v>
      </c>
      <c r="H57" s="146" t="b">
        <v>0</v>
      </c>
      <c r="I57" s="248"/>
      <c r="J57" s="244"/>
      <c r="K57" s="244"/>
    </row>
    <row r="58" ht="15.75" customHeight="1">
      <c r="A58" s="236">
        <v>36.0</v>
      </c>
      <c r="B58" s="45"/>
      <c r="C58" s="64"/>
      <c r="D58" s="258" t="s">
        <v>402</v>
      </c>
      <c r="E58" s="240" t="s">
        <v>299</v>
      </c>
      <c r="F58" s="220" t="s">
        <v>403</v>
      </c>
      <c r="G58" s="247" t="str">
        <f>HYPERLINK("http://docs.aws.amazon.com/quickstart/latest/linux-bastion/welcome.html","Quick Start Linux Bastion Hosts")</f>
        <v>Quick Start Linux Bastion Hosts</v>
      </c>
      <c r="H58" s="146" t="b">
        <v>0</v>
      </c>
      <c r="I58" s="248"/>
      <c r="J58" s="244"/>
      <c r="K58" s="244"/>
    </row>
    <row r="59">
      <c r="A59" s="236">
        <v>37.0</v>
      </c>
      <c r="B59" s="245" t="s">
        <v>404</v>
      </c>
      <c r="C59" s="238" t="s">
        <v>405</v>
      </c>
      <c r="D59" s="246" t="s">
        <v>406</v>
      </c>
      <c r="E59" s="240" t="s">
        <v>315</v>
      </c>
      <c r="F59" s="220" t="s">
        <v>407</v>
      </c>
      <c r="G59" s="247" t="str">
        <f>HYPERLINK("http://docs.aws.amazon.com/AmazonVPC/latest/UserGuide/VPC_VPN.html#Examples","Adding a Hardware Virtual Private Gateway to Your VPC")</f>
        <v>Adding a Hardware Virtual Private Gateway to Your VPC</v>
      </c>
      <c r="H59" s="146" t="b">
        <v>0</v>
      </c>
      <c r="I59" s="248"/>
      <c r="J59" s="244"/>
      <c r="K59" s="244"/>
    </row>
    <row r="60">
      <c r="A60" s="236">
        <v>38.0</v>
      </c>
      <c r="B60" s="195"/>
      <c r="C60" s="252" t="s">
        <v>408</v>
      </c>
      <c r="D60" s="246" t="s">
        <v>409</v>
      </c>
      <c r="E60" s="240" t="s">
        <v>291</v>
      </c>
      <c r="F60" s="220" t="s">
        <v>410</v>
      </c>
      <c r="G60" s="247" t="str">
        <f>HYPERLINK("http://docs.aws.amazon.com/AWSEC2/latest/UserGuide/security-group-rules-reference.html","Security Group Rules Reference")</f>
        <v>Security Group Rules Reference</v>
      </c>
      <c r="H60" s="146" t="b">
        <v>0</v>
      </c>
      <c r="I60" s="248"/>
      <c r="J60" s="244"/>
      <c r="K60" s="244"/>
    </row>
    <row r="61">
      <c r="A61" s="236">
        <v>39.0</v>
      </c>
      <c r="B61" s="195"/>
      <c r="C61" s="252" t="s">
        <v>411</v>
      </c>
      <c r="D61" s="246" t="s">
        <v>412</v>
      </c>
      <c r="E61" s="240" t="s">
        <v>291</v>
      </c>
      <c r="F61" s="220" t="s">
        <v>413</v>
      </c>
      <c r="G61" s="247" t="s">
        <v>414</v>
      </c>
      <c r="H61" s="146" t="b">
        <v>0</v>
      </c>
      <c r="I61" s="248"/>
      <c r="J61" s="244"/>
      <c r="K61" s="244"/>
    </row>
    <row r="62">
      <c r="A62" s="236">
        <v>40.0</v>
      </c>
      <c r="B62" s="195"/>
      <c r="C62" s="259" t="s">
        <v>415</v>
      </c>
      <c r="D62" s="246" t="s">
        <v>416</v>
      </c>
      <c r="E62" s="240" t="s">
        <v>328</v>
      </c>
      <c r="F62" s="220" t="s">
        <v>417</v>
      </c>
      <c r="G62" s="247" t="s">
        <v>418</v>
      </c>
      <c r="H62" s="146" t="b">
        <v>0</v>
      </c>
      <c r="I62" s="248"/>
      <c r="J62" s="244"/>
      <c r="K62" s="244"/>
    </row>
    <row r="63">
      <c r="A63" s="236">
        <v>41.0</v>
      </c>
      <c r="B63" s="195"/>
      <c r="C63" s="259" t="s">
        <v>419</v>
      </c>
      <c r="D63" s="246" t="s">
        <v>420</v>
      </c>
      <c r="E63" s="240" t="s">
        <v>328</v>
      </c>
      <c r="F63" s="220" t="s">
        <v>421</v>
      </c>
      <c r="G63" s="247" t="s">
        <v>422</v>
      </c>
      <c r="H63" s="146" t="b">
        <v>0</v>
      </c>
      <c r="I63" s="248"/>
      <c r="J63" s="244"/>
      <c r="K63" s="244"/>
    </row>
    <row r="64">
      <c r="A64" s="236">
        <v>42.0</v>
      </c>
      <c r="B64" s="195"/>
      <c r="C64" s="259" t="s">
        <v>423</v>
      </c>
      <c r="D64" s="246" t="s">
        <v>424</v>
      </c>
      <c r="E64" s="240" t="s">
        <v>328</v>
      </c>
      <c r="F64" s="220" t="s">
        <v>425</v>
      </c>
      <c r="G64" s="247" t="s">
        <v>426</v>
      </c>
      <c r="H64" s="146" t="b">
        <v>0</v>
      </c>
      <c r="I64" s="248"/>
      <c r="J64" s="244"/>
      <c r="K64" s="244"/>
    </row>
    <row r="65">
      <c r="A65" s="236">
        <v>43.0</v>
      </c>
      <c r="B65" s="195"/>
      <c r="C65" s="260" t="s">
        <v>427</v>
      </c>
      <c r="D65" s="246" t="s">
        <v>428</v>
      </c>
      <c r="E65" s="240" t="s">
        <v>328</v>
      </c>
      <c r="F65" s="220" t="s">
        <v>429</v>
      </c>
      <c r="G65" s="247" t="s">
        <v>430</v>
      </c>
      <c r="H65" s="146" t="b">
        <v>0</v>
      </c>
      <c r="I65" s="248"/>
      <c r="J65" s="244"/>
      <c r="K65" s="244"/>
    </row>
    <row r="66">
      <c r="A66" s="261">
        <v>44.0</v>
      </c>
      <c r="B66" s="195"/>
      <c r="C66" s="262" t="s">
        <v>431</v>
      </c>
      <c r="D66" s="263" t="s">
        <v>432</v>
      </c>
      <c r="E66" s="264" t="s">
        <v>299</v>
      </c>
      <c r="F66" s="265"/>
      <c r="G66" s="265"/>
      <c r="H66" s="146" t="b">
        <v>0</v>
      </c>
      <c r="I66" s="266"/>
      <c r="J66" s="244"/>
      <c r="K66" s="244"/>
    </row>
    <row r="67">
      <c r="A67" s="236">
        <v>45.0</v>
      </c>
      <c r="B67" s="64"/>
      <c r="C67" s="267" t="s">
        <v>433</v>
      </c>
      <c r="D67" s="268" t="s">
        <v>434</v>
      </c>
      <c r="E67" s="269" t="s">
        <v>328</v>
      </c>
      <c r="F67" s="270"/>
      <c r="G67" s="270"/>
      <c r="H67" s="146" t="b">
        <v>0</v>
      </c>
      <c r="I67" s="271"/>
      <c r="J67" s="244"/>
      <c r="K67" s="244"/>
    </row>
    <row r="68">
      <c r="A68" s="236">
        <v>46.0</v>
      </c>
      <c r="B68" s="253" t="s">
        <v>435</v>
      </c>
      <c r="C68" s="220" t="s">
        <v>436</v>
      </c>
      <c r="D68" s="246" t="s">
        <v>437</v>
      </c>
      <c r="E68" s="240" t="s">
        <v>315</v>
      </c>
      <c r="F68" s="220" t="s">
        <v>438</v>
      </c>
      <c r="G68" s="247" t="str">
        <f>HYPERLINK("http://docs.aws.amazon.com/awscloudtrail/latest/userguide/cloudtrail-create-a-trail-using-the-console-first-time.html","Creating a Trail")</f>
        <v>Creating a Trail</v>
      </c>
      <c r="H68" s="146" t="b">
        <v>0</v>
      </c>
      <c r="I68" s="248"/>
      <c r="J68" s="244"/>
      <c r="K68" s="244"/>
    </row>
    <row r="69" ht="15.75" customHeight="1">
      <c r="A69" s="249">
        <v>47.0</v>
      </c>
      <c r="B69" s="245" t="s">
        <v>439</v>
      </c>
      <c r="C69" s="272" t="s">
        <v>440</v>
      </c>
      <c r="D69" s="220" t="s">
        <v>441</v>
      </c>
      <c r="E69" s="273" t="s">
        <v>299</v>
      </c>
      <c r="F69" s="220"/>
      <c r="G69" s="220"/>
      <c r="H69" s="146" t="b">
        <v>0</v>
      </c>
      <c r="I69" s="248"/>
      <c r="J69" s="244"/>
      <c r="K69" s="244"/>
    </row>
    <row r="70" ht="15.75" customHeight="1">
      <c r="A70" s="195"/>
      <c r="B70" s="195"/>
      <c r="C70" s="195"/>
      <c r="D70" s="220" t="s">
        <v>442</v>
      </c>
      <c r="E70" s="273" t="s">
        <v>315</v>
      </c>
      <c r="F70" s="220"/>
      <c r="G70" s="220"/>
      <c r="H70" s="146" t="b">
        <v>0</v>
      </c>
      <c r="I70" s="274"/>
      <c r="J70" s="244"/>
      <c r="K70" s="244"/>
    </row>
    <row r="71" ht="15.75" customHeight="1">
      <c r="A71" s="195"/>
      <c r="B71" s="195"/>
      <c r="C71" s="195"/>
      <c r="D71" s="220" t="s">
        <v>443</v>
      </c>
      <c r="E71" s="273" t="s">
        <v>299</v>
      </c>
      <c r="F71" s="220"/>
      <c r="G71" s="220"/>
      <c r="H71" s="146" t="b">
        <v>0</v>
      </c>
      <c r="I71" s="274"/>
      <c r="J71" s="244"/>
      <c r="K71" s="244"/>
    </row>
    <row r="72" ht="15.75" customHeight="1">
      <c r="A72" s="195"/>
      <c r="B72" s="195"/>
      <c r="C72" s="195"/>
      <c r="D72" s="220" t="s">
        <v>444</v>
      </c>
      <c r="E72" s="273" t="s">
        <v>328</v>
      </c>
      <c r="F72" s="220"/>
      <c r="G72" s="220"/>
      <c r="H72" s="146" t="b">
        <v>0</v>
      </c>
      <c r="I72" s="274"/>
      <c r="J72" s="244"/>
      <c r="K72" s="244"/>
    </row>
    <row r="73" ht="15.75" customHeight="1">
      <c r="A73" s="195"/>
      <c r="B73" s="195"/>
      <c r="C73" s="195"/>
      <c r="D73" s="220" t="s">
        <v>445</v>
      </c>
      <c r="E73" s="273" t="s">
        <v>315</v>
      </c>
      <c r="F73" s="220"/>
      <c r="G73" s="220"/>
      <c r="H73" s="146" t="b">
        <v>0</v>
      </c>
      <c r="I73" s="274"/>
      <c r="J73" s="244"/>
      <c r="K73" s="244"/>
    </row>
    <row r="74" ht="15.75" customHeight="1">
      <c r="A74" s="195"/>
      <c r="B74" s="195"/>
      <c r="C74" s="195"/>
      <c r="D74" s="220" t="s">
        <v>446</v>
      </c>
      <c r="E74" s="273" t="s">
        <v>299</v>
      </c>
      <c r="F74" s="220"/>
      <c r="G74" s="220"/>
      <c r="H74" s="146" t="b">
        <v>0</v>
      </c>
      <c r="I74" s="274"/>
      <c r="J74" s="244"/>
      <c r="K74" s="244"/>
    </row>
    <row r="75" ht="15.75" customHeight="1">
      <c r="A75" s="195"/>
      <c r="B75" s="195"/>
      <c r="C75" s="195"/>
      <c r="D75" s="220" t="s">
        <v>447</v>
      </c>
      <c r="E75" s="273" t="s">
        <v>315</v>
      </c>
      <c r="F75" s="220"/>
      <c r="G75" s="220"/>
      <c r="H75" s="146" t="b">
        <v>0</v>
      </c>
      <c r="I75" s="274"/>
      <c r="J75" s="244"/>
      <c r="K75" s="244"/>
    </row>
    <row r="76" ht="15.75" customHeight="1">
      <c r="A76" s="195"/>
      <c r="B76" s="195"/>
      <c r="C76" s="195"/>
      <c r="D76" s="220" t="s">
        <v>448</v>
      </c>
      <c r="E76" s="273" t="s">
        <v>315</v>
      </c>
      <c r="F76" s="220"/>
      <c r="G76" s="220"/>
      <c r="H76" s="146" t="b">
        <v>0</v>
      </c>
      <c r="I76" s="274"/>
      <c r="J76" s="244"/>
      <c r="K76" s="244"/>
    </row>
    <row r="77" ht="15.75" customHeight="1">
      <c r="A77" s="64"/>
      <c r="B77" s="64"/>
      <c r="C77" s="64"/>
      <c r="D77" s="220" t="s">
        <v>449</v>
      </c>
      <c r="E77" s="273" t="s">
        <v>299</v>
      </c>
      <c r="F77" s="220"/>
      <c r="G77" s="220"/>
      <c r="H77" s="146" t="b">
        <v>0</v>
      </c>
      <c r="I77" s="274"/>
      <c r="J77" s="244"/>
      <c r="K77" s="244"/>
    </row>
    <row r="78">
      <c r="A78" s="275">
        <v>48.0</v>
      </c>
      <c r="B78" s="276" t="s">
        <v>450</v>
      </c>
      <c r="C78" s="277" t="s">
        <v>451</v>
      </c>
      <c r="D78" s="277" t="s">
        <v>452</v>
      </c>
      <c r="E78" s="264" t="s">
        <v>291</v>
      </c>
      <c r="F78" s="277"/>
      <c r="G78" s="277"/>
      <c r="H78" s="146" t="b">
        <v>0</v>
      </c>
      <c r="I78" s="266"/>
      <c r="J78" s="244"/>
      <c r="K78" s="244"/>
    </row>
    <row r="79">
      <c r="A79" s="278">
        <v>49.0</v>
      </c>
      <c r="B79" s="10"/>
      <c r="C79" s="279" t="s">
        <v>453</v>
      </c>
      <c r="D79" s="279"/>
      <c r="E79" s="269" t="s">
        <v>291</v>
      </c>
      <c r="F79" s="279"/>
      <c r="G79" s="279"/>
      <c r="H79" s="146" t="b">
        <v>0</v>
      </c>
      <c r="I79" s="271"/>
      <c r="J79" s="244"/>
      <c r="K79" s="244"/>
    </row>
    <row r="80" ht="15.75" customHeight="1">
      <c r="E80" s="280"/>
    </row>
    <row r="81" ht="15.75" customHeight="1">
      <c r="E81" s="280"/>
    </row>
  </sheetData>
  <mergeCells count="40">
    <mergeCell ref="A1:B3"/>
    <mergeCell ref="C1:E3"/>
    <mergeCell ref="F1:G1"/>
    <mergeCell ref="F2:G2"/>
    <mergeCell ref="F3:G3"/>
    <mergeCell ref="A4:E4"/>
    <mergeCell ref="F4:G4"/>
    <mergeCell ref="C16:D16"/>
    <mergeCell ref="C17:D17"/>
    <mergeCell ref="C18:D18"/>
    <mergeCell ref="C19:D19"/>
    <mergeCell ref="A22:H22"/>
    <mergeCell ref="A8:B8"/>
    <mergeCell ref="A9:B9"/>
    <mergeCell ref="A10:B10"/>
    <mergeCell ref="A12:B12"/>
    <mergeCell ref="D12:D13"/>
    <mergeCell ref="E12:E13"/>
    <mergeCell ref="A15:G15"/>
    <mergeCell ref="D27:D28"/>
    <mergeCell ref="E27:E28"/>
    <mergeCell ref="A13:B13"/>
    <mergeCell ref="A16:B16"/>
    <mergeCell ref="A17:B17"/>
    <mergeCell ref="A18:B18"/>
    <mergeCell ref="A19:B19"/>
    <mergeCell ref="B25:B31"/>
    <mergeCell ref="A27:A28"/>
    <mergeCell ref="B59:B67"/>
    <mergeCell ref="A69:A77"/>
    <mergeCell ref="B69:B77"/>
    <mergeCell ref="C69:C77"/>
    <mergeCell ref="B78:B79"/>
    <mergeCell ref="B37:B38"/>
    <mergeCell ref="B39:B45"/>
    <mergeCell ref="B46:B49"/>
    <mergeCell ref="C46:C49"/>
    <mergeCell ref="B50:B53"/>
    <mergeCell ref="B54:B58"/>
    <mergeCell ref="C54:C58"/>
  </mergeCells>
  <conditionalFormatting sqref="A1:K51">
    <cfRule type="expression" dxfId="4" priority="1">
      <formula>$J$24="No"</formula>
    </cfRule>
  </conditionalFormatting>
  <dataValidations>
    <dataValidation type="list" allowBlank="1" sqref="E69:E79">
      <formula1>"Negligible,Low,Medium,High,Very high"</formula1>
    </dataValidation>
    <dataValidation type="list" allowBlank="1" sqref="E24:E27 E29:E68">
      <formula1>"Negligible,Low,Medium,High,Very high,Option"</formula1>
    </dataValidation>
  </dataValidations>
  <hyperlinks>
    <hyperlink r:id="rId1" ref="G36"/>
    <hyperlink r:id="rId2" ref="G41"/>
    <hyperlink r:id="rId3" ref="G43"/>
    <hyperlink r:id="rId4" ref="G44"/>
    <hyperlink r:id="rId5" ref="G50"/>
    <hyperlink r:id="rId6" ref="G61"/>
    <hyperlink r:id="rId7" ref="G62"/>
    <hyperlink r:id="rId8" ref="G63"/>
    <hyperlink r:id="rId9" ref="G64"/>
    <hyperlink r:id="rId10" ref="G65"/>
  </hyperlinks>
  <drawing r:id="rId11"/>
</worksheet>
</file>